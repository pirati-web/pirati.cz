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Jaroslava\Desktop\Adamko Work\komponenty finál od vlastníkov 2021-03-12\02_excel\"/>
    </mc:Choice>
  </mc:AlternateContent>
  <xr:revisionPtr revIDLastSave="0" documentId="13_ncr:1_{C1ABF7DE-E366-4DC1-A86F-348FE99D22F0}" xr6:coauthVersionLast="46" xr6:coauthVersionMax="46" xr10:uidLastSave="{00000000-0000-0000-0000-000000000000}"/>
  <bookViews>
    <workbookView xWindow="-120" yWindow="-120" windowWidth="20730" windowHeight="11160" tabRatio="842" xr2:uid="{00000000-000D-0000-FFFF-FFFF00000000}"/>
  </bookViews>
  <sheets>
    <sheet name="Zdroj_v3" sheetId="25" r:id="rId1"/>
    <sheet name="Zdroj_v3_Orig" sheetId="24" state="hidden" r:id="rId2"/>
    <sheet name="1.3" sheetId="2" r:id="rId3"/>
    <sheet name="1.4" sheetId="3" r:id="rId4"/>
    <sheet name="1.5" sheetId="4" r:id="rId5"/>
    <sheet name="1.6" sheetId="5" r:id="rId6"/>
    <sheet name="1.7" sheetId="6" r:id="rId7"/>
    <sheet name="2.2" sheetId="7" r:id="rId8"/>
    <sheet name="2.3" sheetId="8" r:id="rId9"/>
    <sheet name="2.4" sheetId="9" r:id="rId10"/>
    <sheet name="2.5" sheetId="10" r:id="rId11"/>
    <sheet name="2.6" sheetId="11" r:id="rId12"/>
    <sheet name="2.7" sheetId="12" r:id="rId13"/>
    <sheet name="2.8" sheetId="13" r:id="rId14"/>
    <sheet name="3.1" sheetId="14" r:id="rId15"/>
    <sheet name="3.2" sheetId="15" r:id="rId16"/>
    <sheet name="3.3" sheetId="16" r:id="rId17"/>
    <sheet name="4.1" sheetId="17" r:id="rId18"/>
    <sheet name="4.2" sheetId="18" r:id="rId19"/>
    <sheet name="4.3" sheetId="19" r:id="rId20"/>
    <sheet name="5.1" sheetId="20" r:id="rId21"/>
    <sheet name="5.2" sheetId="21" r:id="rId22"/>
    <sheet name="6.1" sheetId="22" r:id="rId23"/>
    <sheet name="6.2" sheetId="23" r:id="rId24"/>
  </sheets>
  <definedNames>
    <definedName name="_xlnm._FilterDatabase" localSheetId="4" hidden="1">'1.5'!$B$5:$H$5</definedName>
    <definedName name="_xlnm._FilterDatabase" localSheetId="6" hidden="1">'1.7'!$B$5:$M$5</definedName>
    <definedName name="_xlnm._FilterDatabase" localSheetId="19" hidden="1">'4.3'!$A$3:$X$40</definedName>
    <definedName name="_xlnm.Print_Area" localSheetId="16">'3.3'!$B$1:$X$5</definedName>
    <definedName name="_xlnm.Print_Area" localSheetId="20">'5.1'!$A$1:$X$12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5" l="1"/>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9" i="25"/>
  <c r="B10" i="25"/>
  <c r="B11" i="25"/>
  <c r="B12" i="25"/>
  <c r="B13" i="25"/>
  <c r="B14" i="25"/>
  <c r="B15"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67" i="25"/>
  <c r="D68" i="25"/>
  <c r="D69" i="25"/>
  <c r="D70" i="25"/>
  <c r="D71" i="25"/>
  <c r="D72" i="25"/>
  <c r="D73" i="25"/>
  <c r="D74" i="25"/>
  <c r="D75" i="25"/>
  <c r="D76" i="25"/>
  <c r="D77" i="25"/>
  <c r="D78" i="25"/>
  <c r="D79" i="25"/>
  <c r="D80" i="25"/>
  <c r="D81" i="25"/>
  <c r="D82" i="25"/>
  <c r="D83" i="25"/>
  <c r="D84" i="25"/>
  <c r="D85" i="25"/>
  <c r="D86" i="25"/>
  <c r="D87" i="25"/>
  <c r="D88" i="25"/>
  <c r="D89" i="25"/>
  <c r="D90" i="25"/>
  <c r="D91" i="25"/>
  <c r="D92" i="25"/>
  <c r="D93" i="25"/>
  <c r="D94" i="25"/>
  <c r="D95" i="25"/>
  <c r="D96" i="25"/>
  <c r="D97" i="25"/>
  <c r="D98" i="25"/>
  <c r="D99" i="25"/>
  <c r="D100" i="25"/>
  <c r="D101" i="25"/>
  <c r="D102" i="25"/>
  <c r="D103" i="25"/>
  <c r="D104" i="25"/>
  <c r="D105" i="25"/>
  <c r="D106" i="25"/>
  <c r="D8" i="25"/>
  <c r="B8" i="25"/>
  <c r="Q13" i="7" l="1"/>
  <c r="O13" i="7"/>
  <c r="L13" i="7"/>
  <c r="Q12" i="7"/>
  <c r="Q11" i="7"/>
  <c r="Q10" i="7"/>
  <c r="Q9" i="7"/>
  <c r="O9" i="7"/>
  <c r="L9" i="7"/>
  <c r="Q8" i="7"/>
  <c r="Q7" i="7"/>
  <c r="Q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tc={405F73E6-9DBA-401A-BF2B-7F5262BD35FD}</author>
  </authors>
  <commentList>
    <comment ref="B17" authorId="0" shapeId="0" xr:uid="{405F73E6-9DBA-401A-BF2B-7F5262BD35FD}">
      <text>
        <t>[Komentář ve vlákně]
Vaše verze aplikace Excel vám umožňuje číst tento komentář ve vlákně, ale jakékoli jeho úpravy se odeberou, pokud se soubor otevře v novější verzi aplikace Excel. Další informace: https://go.microsoft.com/fwlink/?linkid=870924
Komentář:
    přesun pod bod 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Prokopová Gabriela</author>
  </authors>
  <commentList>
    <comment ref="L13" authorId="0" shapeId="0" xr:uid="{BE4CFF9B-445E-4372-9BB4-BB1F7DD976C2}">
      <text>
        <r>
          <rPr>
            <b/>
            <sz val="9"/>
            <color indexed="81"/>
            <rFont val="Tahoma"/>
            <family val="2"/>
            <charset val="238"/>
          </rPr>
          <t>Prokopová Gabriela:</t>
        </r>
        <r>
          <rPr>
            <sz val="9"/>
            <color indexed="81"/>
            <rFont val="Tahoma"/>
            <family val="2"/>
            <charset val="238"/>
          </rPr>
          <t xml:space="preserve">
uvažuji zda s ohledem na plánované zapojení smart prvků nepřepočítat na konzervativnější výsledek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Smejkal Tomáš</author>
  </authors>
  <commentList>
    <comment ref="H7" authorId="0" shapeId="0" xr:uid="{49476307-D7AC-4252-BB82-F2D16B8123F0}">
      <text>
        <r>
          <rPr>
            <sz val="9"/>
            <color indexed="81"/>
            <rFont val="Tahoma"/>
            <family val="2"/>
            <charset val="238"/>
          </rPr>
          <t xml:space="preserve">Poznámka: EK požaduje změnu indikátoru na úsporu primární energie. Tento indikátor tedy bude změn. Aktuálně máme předběžné hodnoty, ale ještě čekáme na verifikaci. Snad bychom měli být schopni upravit v rýdnu od 15.-.19.3.2021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Jan Maršák</author>
  </authors>
  <commentList>
    <comment ref="F3" authorId="0" shapeId="0" xr:uid="{1637050C-4369-4527-9027-3F62D6C55878}">
      <text>
        <r>
          <rPr>
            <b/>
            <sz val="9"/>
            <color indexed="81"/>
            <rFont val="Tahoma"/>
            <family val="2"/>
            <charset val="238"/>
          </rPr>
          <t>Jan Maršák: Co jsou kvalitativní ukazatele pro milníky?</t>
        </r>
        <r>
          <rPr>
            <sz val="9"/>
            <color indexed="81"/>
            <rFont val="Tahoma"/>
            <family val="2"/>
            <charset val="238"/>
          </rPr>
          <t xml:space="preserve">
</t>
        </r>
      </text>
    </comment>
  </commentList>
</comments>
</file>

<file path=xl/sharedStrings.xml><?xml version="1.0" encoding="utf-8"?>
<sst xmlns="http://schemas.openxmlformats.org/spreadsheetml/2006/main" count="9932" uniqueCount="2494">
  <si>
    <t>Table 2. Milestones and targets</t>
  </si>
  <si>
    <t>Související reforma nebo investice</t>
  </si>
  <si>
    <t>Related reform or investment</t>
  </si>
  <si>
    <t>Číslo a název milníku nebo cíle (targets)</t>
  </si>
  <si>
    <t>Milestone or target name &amp; number</t>
  </si>
  <si>
    <t>Kvalitativní ukazatele (pro milníky)</t>
  </si>
  <si>
    <t>Qualitative indicators ( for milestones)</t>
  </si>
  <si>
    <t>Quantitative indicators (for target)</t>
  </si>
  <si>
    <t>Timeline for completion (indicate the quarter and the year)</t>
  </si>
  <si>
    <t>Zdroj dat/metodika</t>
  </si>
  <si>
    <t>Data source /Methodology</t>
  </si>
  <si>
    <t>Odpovědnost za podávání zpráv a provádění</t>
  </si>
  <si>
    <t>Responsibility for reporting and implementation</t>
  </si>
  <si>
    <t>Popis a jasná definice každého milníku a cíle</t>
  </si>
  <si>
    <t>Description and clear definition of each milestone and target</t>
  </si>
  <si>
    <t>Předpoklady/rizika</t>
  </si>
  <si>
    <t>Assumptions/ risks</t>
  </si>
  <si>
    <t>Ověřovací mechanismus</t>
  </si>
  <si>
    <t>Verification mechanism</t>
  </si>
  <si>
    <t>Měrná jednotka</t>
  </si>
  <si>
    <t>Unit of measure</t>
  </si>
  <si>
    <t>Východisko</t>
  </si>
  <si>
    <t xml:space="preserve">Baseline </t>
  </si>
  <si>
    <t xml:space="preserve">Cíl </t>
  </si>
  <si>
    <t xml:space="preserve">Goal </t>
  </si>
  <si>
    <t>1.3 Digitální vysokorychlostní sítě</t>
  </si>
  <si>
    <t>1.3.1-M1 Příprava opatření AP pro lepší sdílení a zlevnění budování infrastruktury</t>
  </si>
  <si>
    <t>počet analýz/koncepcí</t>
  </si>
  <si>
    <t>-</t>
  </si>
  <si>
    <t>IV-2022</t>
  </si>
  <si>
    <t>Analýzy</t>
  </si>
  <si>
    <t>MPO/BCO, ČTÚ</t>
  </si>
  <si>
    <t>Cílem je lepší sdílení a  zlevnění budování infrastruktury. 
Jde o naplňování Akčního plánu 2.0 nedotačních opatření, případně dalších cílů obsažených v kapitole 7 NPRVHCN (mimo 5G). Zahrnuje krajské databáze investic, mapování neveřejných sítí, reformy sběru dat pro mapování služeb (zkrácení, zjednodušení, data v reálném čase).</t>
  </si>
  <si>
    <t>1.3.1-M2 Realizace měření</t>
  </si>
  <si>
    <t>pořízená měřicí technika</t>
  </si>
  <si>
    <t>Výstupy projektů</t>
  </si>
  <si>
    <t>ČTÚ</t>
  </si>
  <si>
    <t>Nákup technologií ke zkvalitnění a zefektivnění měření kvality sítí.</t>
  </si>
  <si>
    <t>1.3.1-T1 Realizace opatření AP pro lepší sdílení a zlevnění budování infrastruktury</t>
  </si>
  <si>
    <t>realizovaná opatření AP/ pořízené IS</t>
  </si>
  <si>
    <t>realizace 3 opatření AP</t>
  </si>
  <si>
    <t>I-2026</t>
  </si>
  <si>
    <t>Expert estimation</t>
  </si>
  <si>
    <t>Cílem je lepší sdílení a  zlevnění budování infrastruktury. 
Jde o naplňování Akčního plánu 2.0 nedotačních opatření, případně dalších cílů obsažených v kapitole 7 NPRVHCN (mimo 5G).</t>
  </si>
  <si>
    <t>1.3.1-T2 Zvýšení počtu měření</t>
  </si>
  <si>
    <t>počet měření</t>
  </si>
  <si>
    <t>pokrytí 76 okresů ČR a hlavního města měřením</t>
  </si>
  <si>
    <t>Zvýšení počtu měření kvality sítí.</t>
  </si>
  <si>
    <t>1.3.1-T3 Zvýšení počtu objektů DTM</t>
  </si>
  <si>
    <t>digitalizované objekty DTM</t>
  </si>
  <si>
    <t>´+300 000 ha
+30 000 km</t>
  </si>
  <si>
    <t>Kraje</t>
  </si>
  <si>
    <t>Budou vytvořeny technické podmínky pro urychlení a zlevnění předprojektové přípravy výstavby vysokorychlostních sítí</t>
  </si>
  <si>
    <t>Mechanismus podpory byl použit již v OP PIK.</t>
  </si>
  <si>
    <t>DTM</t>
  </si>
  <si>
    <t>1.3.1-M1 Podpora rozvoje ekosystému sítí 5G</t>
  </si>
  <si>
    <t> </t>
  </si>
  <si>
    <t>Strategické koncepty/návrhy</t>
  </si>
  <si>
    <t>=</t>
  </si>
  <si>
    <t>5G Implementation</t>
  </si>
  <si>
    <t>Expertní odhad</t>
  </si>
  <si>
    <t>MPO/5G Alliance</t>
  </si>
  <si>
    <t xml:space="preserve">Vypracování strategických návrhů týkajících se rozvoje 5G v České republice v jednotlivých národohospodářských oblastech </t>
  </si>
  <si>
    <t>MPO</t>
  </si>
  <si>
    <t>1.3.1-T1  Příprava strategických dokumentů 5G</t>
  </si>
  <si>
    <t>počet konceptů/návrhů</t>
  </si>
  <si>
    <t>10 ks/rok</t>
  </si>
  <si>
    <t>IV-2025</t>
  </si>
  <si>
    <t>Poskytování pomoci zaměřené na zpracování strategických rozhodnutí pro rozvoj 5G sítí a služeb v různých národohospodářských oblastech v souladu se strategickou vizí implementace 5G sítí v České republice.</t>
  </si>
  <si>
    <t>1.3.3-T1 Zvýšení počtu adresních míst s přístupem k VHCN</t>
  </si>
  <si>
    <t>Počet AM s přístupem VHCN</t>
  </si>
  <si>
    <t>´+20 000</t>
  </si>
  <si>
    <t>Operátoři</t>
  </si>
  <si>
    <t>Zvýšení počtu adresních míst s přístupem k VHCN.</t>
  </si>
  <si>
    <t>U části opatřeni se bude jednat o nové schéma, které podléhá notifikaci ze strany EK.</t>
  </si>
  <si>
    <t>Elektronický sběr dat, kontrola ČTÚ</t>
  </si>
  <si>
    <t xml:space="preserve">1.3.3-T2 Zvýšení počtu obcí s přípojným bodem (backhaul) </t>
  </si>
  <si>
    <t>Počet obcí s přípojným bodem</t>
  </si>
  <si>
    <t>´+300</t>
  </si>
  <si>
    <t>Zvýšení počtu obcí s přípojným bodem.</t>
  </si>
  <si>
    <t>Nové schéma. Notifikace. Vyžaduje řešit kompetence a udržitelnost pro VO nabídku - úprava zák. 194/2017</t>
  </si>
  <si>
    <t xml:space="preserve">1.3.3-T3 Zvýšení socioek. aktérů s přístupem k VHCN </t>
  </si>
  <si>
    <t>´+1000</t>
  </si>
  <si>
    <t>II-2023</t>
  </si>
  <si>
    <t>Zřizovatelé aktérů/ Operátoři</t>
  </si>
  <si>
    <t xml:space="preserve"> Zvýšení socioek. aktérů s přístupem k VHCN (školy, úřady)</t>
  </si>
  <si>
    <t>Nové schéma, nutno sestavit koncepci a projednat se širokou paletou partnerů, může vyžadovat legislativní opatření. IRU je v pro dotace nový koncept, nutno projednat s Ministerstvem financí. Realizují kraje pro školy, úřady, ale realizace ICT operátory. Mnoho stakeholderů. Nutný široký konsenzus.</t>
  </si>
  <si>
    <t>1.3.3-M1 Zlepšení pokytí koridorů - 1. část</t>
  </si>
  <si>
    <t>Počet km pokrytí "5G signálem pro koridory"</t>
  </si>
  <si>
    <t>I-2025</t>
  </si>
  <si>
    <t>expertní odhad</t>
  </si>
  <si>
    <t>Mobilní operátoři</t>
  </si>
  <si>
    <t>Construction of the new base transceiver stations (BTS) and instalation of the technology for better covering by 5G signals in Transport Corridors</t>
  </si>
  <si>
    <t>Malý podíl participace veřejných zdrojů</t>
  </si>
  <si>
    <t>Kontrola ČTÚ</t>
  </si>
  <si>
    <t>1.3.3-M2 Zlepšení pokytí koridorů - 2. část</t>
  </si>
  <si>
    <t>Počet vagonů s opakovačem</t>
  </si>
  <si>
    <t>III-2024</t>
  </si>
  <si>
    <t xml:space="preserve">MD + MPO </t>
  </si>
  <si>
    <t>Equipment of current wagons with 5G repeaters for quality provision of mobile data services.</t>
  </si>
  <si>
    <t>Kontrola zadavatelů přepravy</t>
  </si>
  <si>
    <t>1.3.3-M3 Inovační aplikace ekosystému sítí 5G</t>
  </si>
  <si>
    <t>Počet aplikací ekosystému sítí 5G</t>
  </si>
  <si>
    <t>Vybraní řešitelé</t>
  </si>
  <si>
    <t>Development and subsequent mass use of applications for the operation of transport corridors of the 5G network ecosystem.</t>
  </si>
  <si>
    <t>Nyžší tempo zavádění ITS v ČR.</t>
  </si>
  <si>
    <t>Kontrola SZ</t>
  </si>
  <si>
    <t>1.3.3-M4 VaV - mobilní sítě a služby</t>
  </si>
  <si>
    <t>Počet VaV projektů</t>
  </si>
  <si>
    <t>Program VaV "TREND"</t>
  </si>
  <si>
    <t>MPO +TA ČR</t>
  </si>
  <si>
    <t>Support for scientific research projects focused on the issue of 5G and 6G service networks.</t>
  </si>
  <si>
    <t>Nedostatečná mezinárodní kooperace</t>
  </si>
  <si>
    <t>Kontrola MPO</t>
  </si>
  <si>
    <t>1.3.3-T1 Kontinuální pokytí koridorů - 1. část</t>
  </si>
  <si>
    <t>Počet nových BTS</t>
  </si>
  <si>
    <t>1.3.3-T2 Kontinuální pokytí koridorů - 2. část</t>
  </si>
  <si>
    <t>Počet instalací</t>
  </si>
  <si>
    <t>1.3.3-T3 Inovační aplikace ekosystému sítí 5G</t>
  </si>
  <si>
    <t xml:space="preserve">Počet nainstalovaných aplikací </t>
  </si>
  <si>
    <t>1.3.3-T4 VaV - mobilní sítě a služby</t>
  </si>
  <si>
    <t>Počet VaV řešení</t>
  </si>
  <si>
    <t>1.4 Digitální ekonomika</t>
  </si>
  <si>
    <t>1.Institucionální reforma systému koordinace a podpory digitální agendy a digitální transformace, vč. RIS 3 - řídící aktivita</t>
  </si>
  <si>
    <t>Milestone 1. Reforma výboru pro digitální ekonomiku a společnost a digitální transformaci ekonomiky</t>
  </si>
  <si>
    <t>Zájem o zapojení ze strany relevantních partnerů a gestorů jednotlivých oblastí</t>
  </si>
  <si>
    <t>x</t>
  </si>
  <si>
    <t>Q1 2021</t>
  </si>
  <si>
    <t>Zajištění nominací členů Výboru, sepsání stanov Výboru a pravidel jeho fungování. Rozdělení činností a gescí v rámci Výboru mezi jednotlivé partnery.</t>
  </si>
  <si>
    <t>N/A</t>
  </si>
  <si>
    <t>kontrola MPO</t>
  </si>
  <si>
    <t>1.1 Evropské centrum excelence v AI "pro bezpečnější společnost"</t>
  </si>
  <si>
    <t>Milestone 1. spuštění 1. fáze ECE a adaptace na požadavky EC</t>
  </si>
  <si>
    <t>Koordinace národních stakeholderů pro přípravu projektů na koordinaci již podpořeného národního projektu Evropského centra excelence v oblasti umělé inteligence pro bezpečnější společnost do evropské sítě Center Excelence.</t>
  </si>
  <si>
    <t>Jednání se stakeholdery a koordinace</t>
  </si>
  <si>
    <t>Q2 2021</t>
  </si>
  <si>
    <t>Ministerstvo průmyslu a obchodu</t>
  </si>
  <si>
    <t>Uskutečnění série jednání se stakeholdery na téma národní koordinace pro napojení již podpořeného národního projektu Evropského centra excelence v oblasti umělé inteligence pro bezpečnější společnost na sítě Evropských center excelence podpořených z programu Horizont2020</t>
  </si>
  <si>
    <t>Hlavním rizikem je nesoulad mezi stakeholdery. Předpokládáme, že nejasnosti se vyřeší konsensem</t>
  </si>
  <si>
    <t>Jednání na národní úrovni</t>
  </si>
  <si>
    <t>Milestone 2. spuštění 2. fáze ECE</t>
  </si>
  <si>
    <t>Podpora národních projektů Koordinace národních stakeholderů pro přípravu projektů na koordinaci již podpořeného národního projektu Evropského centra excelence v oblasti umělé inteligence pro bezpečnější společnost do evropské sítě Center Excelence, a dále spuštění druhé fáze programu.</t>
  </si>
  <si>
    <t>Q2 2022</t>
  </si>
  <si>
    <t>Target 1: vznik a provoz ECE</t>
  </si>
  <si>
    <t>počet</t>
  </si>
  <si>
    <t>Q4 2025</t>
  </si>
  <si>
    <t>Evropská komise a Ministerstvo průmyslu a obchodu</t>
  </si>
  <si>
    <t>Úspěšné zapojení českých subjektů do sítí Evropských Center Excelence či vznik center na území ČR.</t>
  </si>
  <si>
    <t>Přijetí kvalitních projektů je zásadním předpokladem pro zapojení se do sítě Evropských Center Excelence. Velkou hrozbou v tomto ohledu je značná fragmentizace trhu.</t>
  </si>
  <si>
    <t>Výsledky hodnocení projektů na evropské či národní úrovni</t>
  </si>
  <si>
    <t>1.2 Evropský projekt pro boj s COVID fake news (European Digital Media Observatory Hub - EDMO)</t>
  </si>
  <si>
    <t>Milestone 1. spuštění EDMO hubu pro CEE v ČR</t>
  </si>
  <si>
    <t>Vznik EDMO hubu pro CEE se sídlem v ČR</t>
  </si>
  <si>
    <t>Q4 2021</t>
  </si>
  <si>
    <t>EK</t>
  </si>
  <si>
    <t>Realizátor projektu - konsorcium</t>
  </si>
  <si>
    <t>Pro boj s fake-news a především v oblasti Covd a G sítí byl navržen a ze strany MPO a dalších ústředních orgánů státní správy podpořen vznik hubu pro digitální média v rámci projektu EDMO. Ten naváže na další aktivity v této oblasti a především pomůže je metodicky vést. Měl by se stát součástí projektu EDMO, do kterého se chce zapojit konsorcium vedené Univerzitou Karlovou v Praze, která při tom využije výslčdky výzkumných projektů zaměřených na AI a dezinformace.</t>
  </si>
  <si>
    <t>Nepodpoření projektu EDMO hubu.</t>
  </si>
  <si>
    <t>Target 1: počet zapojených subjektů</t>
  </si>
  <si>
    <t>Zapojené subjekty v ČR a CEE</t>
  </si>
  <si>
    <t>Zpráva realizátora projektu</t>
  </si>
  <si>
    <t>Pro úspěšnou realizaci je potřeba zapojit co nejširší okruh subjektů specializujích se v dané oblasti, a to z akademické, neziskové i firemní oblasti.</t>
  </si>
  <si>
    <t>Nedostatečný počet odborných subjektů pro spolupráci.</t>
  </si>
  <si>
    <t>1.3 Přenos zahraniční nejlepší praxe a know-how pro digitální transformaci, monitoring a výzkum socio-ekonomických dopadů krize (vznik Samuel Niemann Institute)</t>
  </si>
  <si>
    <t>Milestone 1. Navázání přímé spolupráce akademických pracovišť Česko - Izrael</t>
  </si>
  <si>
    <t>Uzavření memoranda a navázání spolupráce</t>
  </si>
  <si>
    <t>Výzkumná instituce - realizátor projektu</t>
  </si>
  <si>
    <t>Akademické instituce technického směru na špičkové úrovni  naváží spolupráci na formální bázi k přípravě spuštění Institutu, který bude monitorovat aktuální vývoj a socioekonomické dopady digitální transformace. Na zákadě memoranda s MPO bude za českou stranu s univerzitou Technion jednat ČVUT, jakožto vedoucí partner konsorica.</t>
  </si>
  <si>
    <t>Rizikem nenavázání spolupráce v uvedeném čase z důvodu zhoršení pandemie</t>
  </si>
  <si>
    <t>Target 1: Navázání mezinárodní spolupráce</t>
  </si>
  <si>
    <t>Počet špičkových mezinárodních spolupracujících subjektů</t>
  </si>
  <si>
    <t>Q4 2022</t>
  </si>
  <si>
    <t>Memoranda o výzkumné spolupráci</t>
  </si>
  <si>
    <t>Institut naváže spolupráci s mezinárodními a národními institucemi v relevantních oblastech, především na úrovni EU, v Německu, USA a v Asii.</t>
  </si>
  <si>
    <t>1.4 Platforma pro vzdělávání managementu SME pro post-COVID-19 digitální transformaci</t>
  </si>
  <si>
    <t>Target 1. Vznik a provoz 1. fáze platformy</t>
  </si>
  <si>
    <t xml:space="preserve">Počet subjektů z řad podniků využívajících znalostní báze Platformy </t>
  </si>
  <si>
    <t>Data koordinátora projektu</t>
  </si>
  <si>
    <t>Koordinátor platformy pro digitální transformaci</t>
  </si>
  <si>
    <t>Dokončení a ostrý provoz Platformy, která bude propagována a nabízena k využití širokému okruhu podniků.</t>
  </si>
  <si>
    <t>Rizikem pro projekt může být financování ex post.</t>
  </si>
  <si>
    <t>Target 2. Vytvoření platformy pro vzdělávání, reskilling a upskilling</t>
  </si>
  <si>
    <t xml:space="preserve">Počet podniků zapojených do využívání elearningových programů Platformy </t>
  </si>
  <si>
    <t>Platforma pro vzdělávání, reskilling a upskilling – rozvoj nových technologií přináší nejen příležitosti, ale i výzvy. Je třeba průběžně vzdělávat zaměstnance tak, aby byli připraveni nové technologie naplno využívat, nepodceňovali kybernetickou bezpečnost a byli schopni nejen reagovat na měnící se situaci na trhu práce a požadavky, ale také, aby dokázali naplno využít příležitostí, které se díky novým technologiím objevují. Z tohoto důvodu vznikne pod technologickou platformou také vzdělávací platforma, jejíž obsah bude určován reálnými potřebami trhu. Opět se předpokládá zapojení širokého spektra partnerů, využití e-learningových řešení s přidanou hodnotou pro zaměstnavatele/zaměstnance. Systém vzdělávání založený na certifikaci/badge.</t>
  </si>
  <si>
    <t>1.5 Evropský projekt pro DLT financování digitalizace SME pro překonání krize (European Blockchain Services Infrastructure - EBSI)</t>
  </si>
  <si>
    <t>Milestone 1. dokončení technické fáze projektu - adaptace EBSI</t>
  </si>
  <si>
    <t>Technická realizace projektu v rámci EBSI v.2</t>
  </si>
  <si>
    <t>EK/EBP</t>
  </si>
  <si>
    <t>EBSI bude ve verzi 2 adaptováno po technické stránce, aby vyhovovalo všem požadavkům nových use cases, především regulatorním.</t>
  </si>
  <si>
    <t>Neprovedení adaptace EBSI v dodatečném časovém rámci.</t>
  </si>
  <si>
    <t>Milestone 2. ustavení národních a evropských konsorcií</t>
  </si>
  <si>
    <t>Zapojení soukromých subjektů v členských státech do realizačních konsorcií.</t>
  </si>
  <si>
    <t>Q1 2022</t>
  </si>
  <si>
    <t>EBSI poskytne infrastrukturu pro provoz trhu, samotné koncové aplikace a přístup na trh zajistí na tržním principu soukromé subjekty sdružené do realizačního konsorcia, a to s příslušnou vyžadovanou licencí danou regulací finančního trhu. Konsorcium bude ustaveno v Česku, stejně jako v dalších zapojených členských státech.</t>
  </si>
  <si>
    <t>Nedostatečný počet subjektů s odpovídající licencí, pomalý licenční proces.</t>
  </si>
  <si>
    <t>Milestone 3. spuštění pilotní fáze projektu pro SME</t>
  </si>
  <si>
    <t>Zahájení nabídky CP v pilotní fázi.</t>
  </si>
  <si>
    <t>DLT trh pro SME bude v rámci EBSI spuštěn nejprve v pilotní fázi v rámci regulatorního sandboxu, a to pro podporu SME zasažených krizí a jejich obnovy prostřednictvím nabídky CP.</t>
  </si>
  <si>
    <t>Regultorní a/nebo technické překážky.</t>
  </si>
  <si>
    <t>Target 1: počet podpořených SME</t>
  </si>
  <si>
    <t>Počet podpořených projektů v pilotní fázi.</t>
  </si>
  <si>
    <t>V pilotní fázi bude umožněno obchodování s CP SME dle regulatorních předpisů v rámci sandboxu.</t>
  </si>
  <si>
    <t>Nedostatečná nabídka CP.</t>
  </si>
  <si>
    <t>1.1 Technologická platforma pro digitální transformaci a koordinace RIS3</t>
  </si>
  <si>
    <t xml:space="preserve">Milestone 5. Zpracování průběžné aktualizace RIS3 strategie </t>
  </si>
  <si>
    <t>Schválení aktualizované RIS3 strategie.</t>
  </si>
  <si>
    <t>Q4 2024</t>
  </si>
  <si>
    <t>RIS3 strategie je podkladovou reformou komponenty 1.4, a proto je potřeba zajistit fungování jejích procesů s možností identifikace technologií a trendů a zpřesňování/generování nových relevantních témat výzkumu/inovací a misí.</t>
  </si>
  <si>
    <t>1.6 Demonstrativní projekty rozvoje aplikací pro města a průmyslové oblasti (např. 5G)</t>
  </si>
  <si>
    <t>M1. Projekty/aplikace - 
Notifikace</t>
  </si>
  <si>
    <t>M1. Projects / applications - Notifications</t>
  </si>
  <si>
    <t>Podána žádost o notifikaci</t>
  </si>
  <si>
    <t>Notification application submitted</t>
  </si>
  <si>
    <t>1Q 2021</t>
  </si>
  <si>
    <t xml:space="preserve">MMR + MPO </t>
  </si>
  <si>
    <t>MRD + MIT</t>
  </si>
  <si>
    <t xml:space="preserve">Notifikace možnosti poskytnutí dotací na projekty/aplikace </t>
  </si>
  <si>
    <t xml:space="preserve">Notification of the possibility of providing subsidies for the project / application </t>
  </si>
  <si>
    <t>M2. Projekty/aplikace - 
Rozhodnutí o notifikaci</t>
  </si>
  <si>
    <t xml:space="preserve">M2. Projects / Applications -
Decision on notification </t>
  </si>
  <si>
    <t>EC</t>
  </si>
  <si>
    <t>Povolení pro poskytnutí dotací na projekty/aplikace</t>
  </si>
  <si>
    <t>Permission to provide subsidies for projects / applications</t>
  </si>
  <si>
    <t>M3. Referenční  projekty/aplikace - vyhlášení výzvy 
(5měst pro 5G)</t>
  </si>
  <si>
    <t>M3. Reference projects/applications - call for proposals
(5Cities for 5G)</t>
  </si>
  <si>
    <t>Vyhlášení výzvy</t>
  </si>
  <si>
    <t>Call for proposals</t>
  </si>
  <si>
    <t>Počet referenčních projektů/aplikací</t>
  </si>
  <si>
    <t>Number of reference projects / applications</t>
  </si>
  <si>
    <t>Získání sady referenčních projektů/aplikací</t>
  </si>
  <si>
    <t>Obtaining a set of reference projects / applications</t>
  </si>
  <si>
    <t>2Q 2021</t>
  </si>
  <si>
    <t>Bude připravena výzva, vč. modelu hodnocení a kritéria pro výběr a hodnocení projektů, pravidel pro žadatele a příjemce, vzor právního aktu o poskytnutí dotace a event. další přílohy v základu dle Výzvy OP TP. Podmínky se můžou lišit pouze v rozsahu zahrnutí způsobilých výdajů. Podmínky výzvy budou v souladu s GBER. Míra spolufinancování z RRF bude 90 %, zbývající část půjde ze zdrojů městských samospráv.</t>
  </si>
  <si>
    <t>A call will be prepared, incl. evaluation model and criteria for selection and evaluation of projects, rules for applicants and beneficiaries, model legal act on the provision of subsidies and event. other annexes in the basis according to the OP TP Call. Conditions may only differ to the extent of the inclusion of eligible expenditure. The terms of the call will be in line with the GBER. The co-financing rate from the RRF will be 90%, the remaining part will come from municipalities.</t>
  </si>
  <si>
    <t>M4. Referenční  projekty/aplikace - Předložení projektů</t>
  </si>
  <si>
    <t>M4. Reference projects / applications - Submission of projects</t>
  </si>
  <si>
    <t>Podány žádosti o podporu</t>
  </si>
  <si>
    <t>Aid applications submitted</t>
  </si>
  <si>
    <t>Municipality</t>
  </si>
  <si>
    <t>Municipalities</t>
  </si>
  <si>
    <t>Budou připraveny návrhy referenčních projektů/aplikací</t>
  </si>
  <si>
    <t>Proposals for reference projects / applications will be prepared</t>
  </si>
  <si>
    <t>M5. Referenční  projekty/aplikace - Uzavření právních aktů</t>
  </si>
  <si>
    <t>M5. Reference projects / applications - Conclusion of legal acts</t>
  </si>
  <si>
    <t>Uzavřeny právní akt</t>
  </si>
  <si>
    <t>Legal act concluded</t>
  </si>
  <si>
    <t>Počet uzavřených právních aktů</t>
  </si>
  <si>
    <t>Number of legal acts concluded</t>
  </si>
  <si>
    <t>Získání sady uzavřených právních aktů</t>
  </si>
  <si>
    <t>Obtaining a set of closed legal acts</t>
  </si>
  <si>
    <t>Budou připraveny referenční projekty/aplikace</t>
  </si>
  <si>
    <t>Reference projects / applications will be prepared</t>
  </si>
  <si>
    <t>M6. Referenční  projekty/aplikace - Realizace</t>
  </si>
  <si>
    <t>M6. Reference projects / applications - Realisation</t>
  </si>
  <si>
    <t>3-4Q 2021</t>
  </si>
  <si>
    <t>M7. Projekty/aplikace - 
vyhlášení výzvy
(vertikála - Smart Cities)</t>
  </si>
  <si>
    <t>M7. Projects/applications - 
call for proposals
(vertical - Smart Cities)</t>
  </si>
  <si>
    <t>Počet projektů/aplikací</t>
  </si>
  <si>
    <t>Number of projects / applications</t>
  </si>
  <si>
    <t>Získání sady  projektů/aplikací</t>
  </si>
  <si>
    <t>Obtaining a set of  projects/applications</t>
  </si>
  <si>
    <t>1Q 2022</t>
  </si>
  <si>
    <t>M8. Projekty/aplikace - 
Předložení projektů</t>
  </si>
  <si>
    <t>M8. Projects / applications - Submission of projects</t>
  </si>
  <si>
    <t>2Q 2022</t>
  </si>
  <si>
    <t>Budou připraveny návrhy  projektů/aplikací</t>
  </si>
  <si>
    <t>Proposals for  projects / applications will be prepared</t>
  </si>
  <si>
    <t>M9. Projekty/aplikace - 
Uzavření právních aktů</t>
  </si>
  <si>
    <t>M9. Projects / applications - Conclusion of legal acts</t>
  </si>
  <si>
    <t>Budou připraveny projekty/aplikace</t>
  </si>
  <si>
    <t>Projects / applications will be prepared</t>
  </si>
  <si>
    <t>M10. Projekty/aplikace - 
Realizace</t>
  </si>
  <si>
    <t>M10. Projects / applications - Realisation</t>
  </si>
  <si>
    <t>3Q 2022 - 4Q 2023</t>
  </si>
  <si>
    <t xml:space="preserve">M11. Projekty/aplikace - 
vyhlášení výzvy 
(vertikála - Průmysl 4.0)
</t>
  </si>
  <si>
    <t>M11. Projects/applications - 
call for proposals
(vertical - Industry 4.0)</t>
  </si>
  <si>
    <t xml:space="preserve">MPO </t>
  </si>
  <si>
    <t>MIT</t>
  </si>
  <si>
    <t>Bude připravena kolová výzva, vč. modelu hodnocení a kritéria pro výběr a hodnocení projektů, pravidel pro žadatele a příjemce, vzor právního aktu o poskytnutí dotace a event. další přílohy v základu dle Výzvy OP TP. Podmínky se můžou lišit pouze v rozsahu zahrnutí způsobilých výdajů. Podmínky výzvy budou v souladu s GBER. Míra spolufinancování z RRF bude 30 %, zbývající část půjde ze zdrojůpodnikatelských subjektů.</t>
  </si>
  <si>
    <t>A round challenge will be prepared, incl. evaluation model and criteria for selection and evaluation of projects, rules for applicants and beneficiaries, model legal act on the provision of subsidies and event. other annexes in the basis according to the OP TP Call. Conditions may only differ to the extent of the inclusion of eligible expenditure. The terms of the call will be in line with the GBER. The co-financing rate from the RRF will be 90%, the remaining part will come from business companies..</t>
  </si>
  <si>
    <t>M12. Projekty/aplikace - 
Předložení projektů</t>
  </si>
  <si>
    <t>M12. Projects / applications - Submission of projects</t>
  </si>
  <si>
    <t>Business companies</t>
  </si>
  <si>
    <t>M13. Projekty/aplikace - 
Uzavření právních aktů</t>
  </si>
  <si>
    <t>M13. Projects / applications - Conclusion of legal acts</t>
  </si>
  <si>
    <t>M14. Projekty/aplikace - 
Realizace</t>
  </si>
  <si>
    <t>M14. Projects / applications - Realisation</t>
  </si>
  <si>
    <t>Cíl 1: Počet referenčních projektů/aplikací</t>
  </si>
  <si>
    <t>Target 1: Number of reference projects / applications</t>
  </si>
  <si>
    <t>A number</t>
  </si>
  <si>
    <t>4Q2021</t>
  </si>
  <si>
    <t>Cíl 2: Počet projektů/aplikací 
(vertikála -Smart Cities)</t>
  </si>
  <si>
    <t>Target 2: Number of  projects / applications
(vertical -Smart Cities)</t>
  </si>
  <si>
    <t>4Q2023</t>
  </si>
  <si>
    <t>Cíl 3: Počet projektů/aplikací 
(vertikála - Průmysl 4.0)</t>
  </si>
  <si>
    <t>Target 3: Number of  projects / applications
(vertical - Industry 4.0)</t>
  </si>
  <si>
    <t>2.Nastavení uceleného systému institucionální podpory investic a rozvoje inovativních firem, start-upů, a nových technologií</t>
  </si>
  <si>
    <t>Milestone 1: Ustavení pracovní koordinační skupiny pro koordinaci a podporu start-upů, inovativních firem a nových technologií</t>
  </si>
  <si>
    <t>Schválení PS a její plné obsazení a spuštění</t>
  </si>
  <si>
    <t>Q22021</t>
  </si>
  <si>
    <t>Správce programu (MPO)</t>
  </si>
  <si>
    <t>Pracovní skupina bude ustavena ke koordinaci aktivit v této oblasti v návaznosti na schválení materiálu vládou ČR. Bude zároveň sloužit jako programová rada navazujících programů podpory.</t>
  </si>
  <si>
    <t>Neschválení materiálu vládou, nedostatek personálních kapacit</t>
  </si>
  <si>
    <t>2.1 Programy Czech Rise-Up</t>
  </si>
  <si>
    <t>Milestone 1. vyhlášení CRU 20</t>
  </si>
  <si>
    <t>Příprava a vyhlášení druhého programu</t>
  </si>
  <si>
    <t>Pro boj s pandemií a následky nemoci COVID-19 byl spuštěn program Czech Rise Up podporující chytrá řešení v boji s krizí. Jeho pokračování se zaměří na medicínské technologire, podporu strategických technologií a ekonomickou obnovu.</t>
  </si>
  <si>
    <t>Nedostatek projektů v dané oblasti.</t>
  </si>
  <si>
    <t>Target 1: počet podpořených projektů</t>
  </si>
  <si>
    <t>Počet projektů</t>
  </si>
  <si>
    <t>Počet projektů podpořených z programů Czech Rise Up</t>
  </si>
  <si>
    <t>Target 2: počet podpořených projektů</t>
  </si>
  <si>
    <t>Q4 2023</t>
  </si>
  <si>
    <t>2.2 Podpora podnikavosti, podnikání a inovativních firem po COVID-19</t>
  </si>
  <si>
    <t>Target 1: počet osvětových akcí na podporu podnikání
Target 2: počet konzutovaných podnikatelských záměrů
Target 3: počet podpořených začínajících firem (mimo inkubaci a akceleraci viz bod/komponenta 2.5 a 2.6.)</t>
  </si>
  <si>
    <t xml:space="preserve">
Target 1: number of awareness raising events to support business
Target 2:
Target 1: number of consulted business plans
Target 3:  number of start-ups supported (excluding incubation and acceleration mentioned in 2.5 and 2.6)</t>
  </si>
  <si>
    <t>Umožnit co nejširšímu okruhu zájemců (až do úrovně ORP) dovědět se o podnikání jako možné kariérní volbě, získat informace a potřebné základní poradenství a kontakty na další podporu</t>
  </si>
  <si>
    <t>To enable the widest possible circle of interested parties (up to the level of ORP) to learn about business as a possible career choice, to obtain information and the necessary basic advice and contacts for further support</t>
  </si>
  <si>
    <t>number</t>
  </si>
  <si>
    <t>Target 1: 450
Target 2: 4500
Target 3: 450</t>
  </si>
  <si>
    <t xml:space="preserve">MIT </t>
  </si>
  <si>
    <t>MIT/ Regional Innovation centres</t>
  </si>
  <si>
    <t>počet proškolených a konzultovaných osob / týmů / začínajících podnikatelů; Počet nově založených podniků; Z toho počet nově založených inovativních firem</t>
  </si>
  <si>
    <t>number of trained and consulted persons / teams / start-ups; Number of start-ups; Of which number of newly established innovative companies</t>
  </si>
  <si>
    <t xml:space="preserve">Nedostatek kvalifikovaných konzultantů, odborníků, nedostatek vhodných partnerů v regionech, nedostatečná vůle ze strany místních samospráv a škol o spolupráci </t>
  </si>
  <si>
    <t>Lack of qualified consultants, experts, lack of suitable partners in the regions, insufficient will on the part of local governments and schools to cooperate</t>
  </si>
  <si>
    <t xml:space="preserve">pravidelný monitoring, zpětná vazba, kontroly na místě </t>
  </si>
  <si>
    <t xml:space="preserve">
regular monitoring, 
feedback, on-site inspections</t>
  </si>
  <si>
    <t>2.3 Fondy pro rozvoj pre/seedových investic, strategických technologií a univerzitních spin-offů v rámci Evropských center excelence</t>
  </si>
  <si>
    <t>Milestone 1. příprava a nastavení koinvestičního fondu</t>
  </si>
  <si>
    <t>Spuštění pilotní fáze koinvestičního fondu</t>
  </si>
  <si>
    <t>Zpráva správce koinvestičního fondu</t>
  </si>
  <si>
    <t>Správce koinvestičního fondu</t>
  </si>
  <si>
    <t>Pro podporu rozvoje podnikání a inovativních frem typu start-up bude spuštěn koinvestiční fond pro stávající a nové VC v oblasti seed/preseed. Pilotní projket ověří výši investic, absorbci a oblasti investic, v neposlední řadě pak komplementaritu k dalším nástrojům podpory.</t>
  </si>
  <si>
    <t>Nevhodné nastavení nemotivující zapojení soukromých subjektů, zásah krize do oblasti start-upů.</t>
  </si>
  <si>
    <t>Milestone 2. příprava a nastavení fondu fondů</t>
  </si>
  <si>
    <t>Ukončení pilotní fáze po vyčerpání investičních prostředků</t>
  </si>
  <si>
    <t>Na základě výsledků pilotní fáze bude koinvestiční fond vyhodnocen a budou nastaveny další pokračující kola investic.</t>
  </si>
  <si>
    <t>Milestone 4. spuštění univerzitního fondu pro technologický transfer</t>
  </si>
  <si>
    <t>Zahájení realizace univerzitního fondu</t>
  </si>
  <si>
    <t>Q3 2022</t>
  </si>
  <si>
    <t>N základě vyhodnocení pilotní fáze bude systém replikován na další oblasti, především prioritního zaměření vzhledem ke COVID-19.</t>
  </si>
  <si>
    <t>Nevhodné nastavení a nezapojení se VŠ se specializací na AI.</t>
  </si>
  <si>
    <t>Target 1: počet investovaných start-upů</t>
  </si>
  <si>
    <t>Počet realizovaných investic</t>
  </si>
  <si>
    <t>Počet podpořených investic do start-upů z obou pilotních projektů.</t>
  </si>
  <si>
    <t>2.4 internacionalizace start-ups</t>
  </si>
  <si>
    <t>Target 1: počet podpořených start-upů</t>
  </si>
  <si>
    <t>Target 1: number of supported start-ups/scale-ups</t>
  </si>
  <si>
    <t>Přenos podnikatelského know-how z vysoce rozvinutých startupových ekosystémů; Validace produktu v zahraničí, přizpůsobení obchodních modelů na místní trhy; Podpora startupů ve vstupu na nové zahraniční trhy; Přístup k vyspělým technologiím a kapitálové infrastruktuře v zahraničí; Navýšení soukromých investic do startupů a zajištění jejich další akcelerace</t>
  </si>
  <si>
    <t>Transfer of business know-how from highly developed startup ecosystems; Product validation abroad, adaptation of business models to local markets; Support for startups in entering new foreign markets; Access to advanced technologies and capital infrastructure abroad; Increasing private investment in startups and ensuring their further acceleration</t>
  </si>
  <si>
    <t>MPO/CzechInvest</t>
  </si>
  <si>
    <t>MIT / CzechInvest</t>
  </si>
  <si>
    <t>CzechInvest</t>
  </si>
  <si>
    <t>Počet startupů, které prošly akceleračním programem procesem ( dosažení milníků v projektu:podepsané smlouvy, ukončená akcelerace, navázaných partnerství, spoluprací, zakázek, růst tržeb, VC investment)</t>
  </si>
  <si>
    <t>Number of startups supported in the acceleration process (reaching milestones in the project: signed contracts, completed acceleration - new clients, contracts, partnerships, branch establishment, sales growth,  VC investment)</t>
  </si>
  <si>
    <t>nedostatečný počet vznikajících startupů; nedostatek soukromého co-financování firem; nevhodný výběr lokalit, krize typu covid19 (zavřené hranice a možnost fyzické přítomnosti v místě)</t>
  </si>
  <si>
    <t>insufficient number of emerging startups; lack of private co-financing of companies; inappropriate choice of localities, covid19 type crisis (closed borders and possibility of physical presence on the spot)</t>
  </si>
  <si>
    <t>pravidelný monitoring, mid-term reporting, pravidelné setkávání</t>
  </si>
  <si>
    <t xml:space="preserve">
regular monitoring, mid-term reporting, regular 1to1 sessions</t>
  </si>
  <si>
    <t>2.5 Vznik sandboxů v regulovaných odvětvích v souladu s EU prioritami</t>
  </si>
  <si>
    <t>Milestone 1. spuštění prvního sandboxu</t>
  </si>
  <si>
    <t>Spuštení prvního sandboxu v jedné z prioritních regulovaných oblastí.</t>
  </si>
  <si>
    <t>Realizátor projektu sandboxu</t>
  </si>
  <si>
    <t>Součástí podpory ekosystému inovací a vzniku nových technologií pro překonání krize je nutné zajištění testování projektů a produktů v rámci regulovaných odvětví, a to prostřednictvíím tzv. sandboxu, který je doporučovaným nástrojem ze strany EK. Prioritizovány jsou klíčové oblasti dle strategických dokumentů EU (finance, data, farmacie/medicína). Primární důraz dostanou již připravované projekty.</t>
  </si>
  <si>
    <t>Spolupráce s regulátorem dané prioritní oblasti.</t>
  </si>
  <si>
    <t>Milestone 2. spuštění druhého sandboxu</t>
  </si>
  <si>
    <t>Spuštení druhého sandboxu v jedné z prioritních regulovaných oblastí.</t>
  </si>
  <si>
    <t>Součástí podpory ekosystému inovací a vzniku nových technologií pro překonání krize je nutné zajištění testování projektů a produktů v rámci regulovaných odvětví, a to prostřednictvíím tzv. sandboxu, který je doporučovaným nástrojem ze strany EK. Prioritizovány jsou klíčové oblasti dle strategických dokumentů EU (finance, data, farmacie/medicína). Pro realizaci každého sandboxu je stanoven přiměřený čas s ohledem na regulatorní náročnost.</t>
  </si>
  <si>
    <t>Target 1: počet regulovaných subjektů/účastníků sandboxů</t>
  </si>
  <si>
    <t>Počet účastníků sandboxů</t>
  </si>
  <si>
    <t>Realizace sandboxů bude závislá na spolupráci regulátorů a soukromých konsorcií, které propojí inovativní ekosystém s orgány regulace a dohledu v dané oblasti.</t>
  </si>
  <si>
    <t>3. Podpora strategických odvětví - společná skupina pro podporu a certifikace strategických technologií s Radou pro s.t.</t>
  </si>
  <si>
    <t>Milestone 1. Certifikační autority</t>
  </si>
  <si>
    <t>Vytvoření sítě certifikačních autorit pro strategická odvětví.</t>
  </si>
  <si>
    <t>Realizátor projektu</t>
  </si>
  <si>
    <t>Pro podporu rozvoje strategických odvětví je potřeba vytvořit dostatečnou kapacitu certifikací. V návaznosti na Radu pro strategické technologie.</t>
  </si>
  <si>
    <t>Nedostatek kapacity certifikačních autorit.</t>
  </si>
  <si>
    <t>Target 1: počet podpořených firem (které získaly certifikaci)
Target 2: zvýšení kapacity pro certifikaci u podpořené podpůrné infrastruktury</t>
  </si>
  <si>
    <t xml:space="preserve">
Target 1: Number of supported companies (which you will receive certification)
Target 2: increase capacity for certification and support of support infrastructures</t>
  </si>
  <si>
    <t>Počet proškolených a podpořených firem; Počet zavedených certifikací; Počet nových regulativů/laboratoří/notifikovaných osob s potřebným vybavením.</t>
  </si>
  <si>
    <t>Improving quality and process management by providing a network of accredited laboratories with sufficient capacity for testing, including the provision of qualified personnel for certification, including elements of automation and robotics, digitization of the companies.</t>
  </si>
  <si>
    <t>Target 1: 50
Target 2: 30</t>
  </si>
  <si>
    <t xml:space="preserve">Zlepšení managementu jakosti a procesů, a to prostřednictvím zajištění sítě akreditovaných laboratoří s dostatečnou kapacitou pro testování včetně zajištění kvalifikovaných pracovníků pro oblast certifikace a to včetně prvků automatizace a robotizace, digitalizace podniku. </t>
  </si>
  <si>
    <t xml:space="preserve">
Number of trained and supported companies; Number of certifications introduced; Number of new regulations / laboratories / notified bodies with required equipment.</t>
  </si>
  <si>
    <t>Nedostatečný zájem jak ze strany firem, tak ze strany podpůrné infrastruktury; Změny regulatorního rámce; Nedostatek finančních prostředků a nevhodně zvolené způsoby financování; Technické komplikace vedoucí k prodloužení doby realizace.</t>
  </si>
  <si>
    <t>Insufficient interest from both companies and supporting infrastructure; Changes to the regulatory framework; Lack of funds and inappropriately chosen methods of financing; Technical complications leading to extended implementation time.</t>
  </si>
  <si>
    <t>3.1 Vybudování kvantové komunikační infrastruktury</t>
  </si>
  <si>
    <t>Target 1. Vytvoření národní optické kvantové sítě</t>
  </si>
  <si>
    <t>Vytvoření optické kvantové linky propojující Prahu, Brno a Ostravu. Vytvoření vedlejších větví pro realizaci jednotlivých use-cases.</t>
  </si>
  <si>
    <t>Vytvoření optického propojení Prahy, Brna a Ostravy, celková délka optické cesty 400km, 6 QKD segmentů. Implementace dvou vedlejších metropolitních větví založených na komerčním QKD zařízení a dvou vedlejších metropolitních větví založených na experimentálním QKD toolkitu. Nákup a naplánování mobilních vedlejších větví.</t>
  </si>
  <si>
    <t>Radikální nárůst ceny kvantových zařízení v důsledku velké poptávky.</t>
  </si>
  <si>
    <t>Target 2. Příprava odborníků v oblasti kvantové komunikace</t>
  </si>
  <si>
    <t>Systematická odborná příprava odborníků z oblasti klasické optické komunikace a síťové bezpečnosti</t>
  </si>
  <si>
    <t>Příprava a realizace jednoho výukového kurzu a 4 přednášek.</t>
  </si>
  <si>
    <t>Nedostatek podpory ze strany jiných než veřejných subjektů.</t>
  </si>
  <si>
    <t>Target 3. Testování a provoz optické kvantové sítě</t>
  </si>
  <si>
    <t>Testování integrace kvantové komunikace do stávajících telekomunikačních technologií.</t>
  </si>
  <si>
    <t>Q4 2026</t>
  </si>
  <si>
    <t>Testování integrace kvantové komunikace do stávajících telekomunikačních technologií. Otestování 3 use-cases specifických pro Českou republiku, zejména z oblasti vládní, vojenské, bezpečnostní, bankovní a medicínské komunikace.</t>
  </si>
  <si>
    <t>Zpoždění výsledků v oblasti integrace kvantových technologií do stávající telekomunikační infrastruktury na straně konsorcií financovaných v rámci DEP EuroQCI Topic 1.</t>
  </si>
  <si>
    <t>3.1 Podpora leteckého průmyslu</t>
  </si>
  <si>
    <t>Milestone 1. vybudování alespoň jednoho testbedu na základě technologie digitálního dvojčete</t>
  </si>
  <si>
    <t>Funkční zařízení typu testbed - digitální dvojče leteckého zařízení</t>
  </si>
  <si>
    <t xml:space="preserve">Dokončení stavby testbedu jádra motoru umožňující producentům leteckých motorů vytvářet digitální dvojče leteckého motoru </t>
  </si>
  <si>
    <t>Předpokladem je včasná výroba a dodávka ze strany dodavatelů</t>
  </si>
  <si>
    <t>Předávací protokol provedení dynamické zkoušky</t>
  </si>
  <si>
    <t>3.2 Podpora VVI v zasažených strategických odvětvích - letecký průmysl</t>
  </si>
  <si>
    <t>Milestone 2. vybudování zařízení pro digitální transformaci v leteckém průmyslu</t>
  </si>
  <si>
    <t>Vybavení experimentálními zařízeními vč. čidel za účelem průmyslové transformace</t>
  </si>
  <si>
    <t xml:space="preserve">Pořízení dalších experimentálních leteckých motorů vybavených vysokým počtem senzorů. Umožňuje vývoj nových aerospace technologií </t>
  </si>
  <si>
    <t>Oživení motoru na zkušebně</t>
  </si>
  <si>
    <t>Milestone 3. Odzkoušení provozuschopnosti</t>
  </si>
  <si>
    <t>Alespoň jedno zařízení v plné funkčnosti.</t>
  </si>
  <si>
    <t xml:space="preserve">Pořízení flying testbedu - experimentálního letadla za účelem zkoušek motoru za letu. </t>
  </si>
  <si>
    <t>Předpokladem je dosažení certifikace EASA/ÚCL</t>
  </si>
  <si>
    <t>Převzetí Flying testbedu do ČR</t>
  </si>
  <si>
    <t>Projekt navazuje na projekt podpořený v rámci OP VVV, kterým byl výzkumný projekt zaměřený na vybudování experimentální základny pro stavbu celoživotního monitorovacího systému motoru letadla. Vzhledem k již vybudované (v procesu) základně je dodatečná investice vysokou hodnotou za peníze.</t>
  </si>
  <si>
    <t>Předávací protokoly/protokoly o zkoušce.</t>
  </si>
  <si>
    <t>Target 2: Počet provedených zkoušek na motoru ve spolupráci s průmyslovým partnerem</t>
  </si>
  <si>
    <t>Na testovacím zařízení budou provedeny zkoušky produktu pro jednotlivé partnery.</t>
  </si>
  <si>
    <t>1.5 Digitální ekonomika a společnost, inovativní start-upy a nové technologie</t>
  </si>
  <si>
    <t>1. Vznik Platformy pro digitalizaci hospodářství</t>
  </si>
  <si>
    <t>Milestone 1. vznik Platformy pro digitalizaci hospodářství</t>
  </si>
  <si>
    <t>Propojení Platformy na Výbor pro digitální transformaci</t>
  </si>
  <si>
    <t>Počet</t>
  </si>
  <si>
    <t>V návaznosti na vznik  Výboru pro digitální tranformaci (komponenta 1.4.) dojde ke vzniku Platformy pro digitalizaci hospodářství, která bude sdružovat odborníky z oboru a dohlížet na vznik digitálního ekosystému</t>
  </si>
  <si>
    <t>Platforma pro digitalizaci hospodářství bude zajišťovat koordinaci vzniku propojeného a udržitelného ekosystému přes jednotlivé investice a jako riziko vnímáme nedostatečnou koordinaci stakkeholderů.</t>
  </si>
  <si>
    <t>zabezpečení vzniku ekosystému</t>
  </si>
  <si>
    <t>1.1 Evropská a národní centra digitálních inovací (e/DIH)</t>
  </si>
  <si>
    <t>Milestone 1. vyhlášení národního výběru eDIH</t>
  </si>
  <si>
    <t>Kvalitní projekty v národní výzvě</t>
  </si>
  <si>
    <t>Q4 2020</t>
  </si>
  <si>
    <t>Přijaté projekty v rámci národní nominační výzvy</t>
  </si>
  <si>
    <t>Příprava národní nominační výzvy do seznamu EDIH je zásadním předpokladem českých subjektů pro účast ve výzve z programu Digitální Evropa</t>
  </si>
  <si>
    <t>Přijetí kvalitních projektů je zásadním předpokladem pro zapojení se do celonárodní a evropské sítě Center pro digitální inovace. Velkou hrozbou v tomto ohledu je značná fragmentizace a nedostatečná odbornost jednotlivých uchazečů a nedostatečn personální zajištění pro implementaci investice</t>
  </si>
  <si>
    <t>Výsledky hodnocení projektů národními i mezinárodními experty.</t>
  </si>
  <si>
    <t>Milestone 2. vyhlášení EC callu eDIH a paralelní vyhlášení národní finanční výzvy z programu The Country for the Future</t>
  </si>
  <si>
    <t>Přihlášené a vybrané projekty z řad českých uchazečů</t>
  </si>
  <si>
    <t>3-6</t>
  </si>
  <si>
    <t>Přijaté projekty do výzvy z programu Digitální Evropa a z výzvy z programu the Country for the Future</t>
  </si>
  <si>
    <t>Úspěšné vypsání národní a evropské výzvy na EDIH a účast kvalitních projetků je jediným způsobem, jak vytvořit kvalitní a propojenou sít (E)DIH</t>
  </si>
  <si>
    <t>Výsledky hodnocení projektů na evropské i národní úrovni</t>
  </si>
  <si>
    <t>Target 1: vznik a provoz (e)DIH</t>
  </si>
  <si>
    <t>Funkční a propojený ekosystém EDIH</t>
  </si>
  <si>
    <t>≥6</t>
  </si>
  <si>
    <t>program Digitální Evropa</t>
  </si>
  <si>
    <t>V příštím víceletým finančním rámci bude zaváděna síť Evropských center pro digitální inovace, která bude kofinancována z evropských a národních zdrojů. Její vznik je zcela zásadní pro další rozvoj digitalizace průmyslu a státní správy.</t>
  </si>
  <si>
    <t>Propojená síť Evropských center pro digitální inovace vznikne v průběhu několika let a bude doplňována o další kvalitní projekty národního charakteru. Jako hlavní rizika považujeme nedostačný počet Evropských center pro digitální inovace, kterou proto chceme doplnit o adekvátní množství regionálně zaměřených národních center.</t>
  </si>
  <si>
    <t>Monitoring MPO a EK v souvislosti s vznikem a fungováním EDIH</t>
  </si>
  <si>
    <t>1.2 Evropská referenční testovací centra</t>
  </si>
  <si>
    <t>Milestone 1. spuštění 1. fáze TEF a adaptace na požadavky EC</t>
  </si>
  <si>
    <t>Koordinace národních stakeholderů pro přípravu projektů do Výzev na Testovací a experimentální zařízení z programu Digitální Evropa a příprava kofinančních výzev z programu The Country for the Future</t>
  </si>
  <si>
    <t>Q1-Q2 2021</t>
  </si>
  <si>
    <t>Uskutečnění série jednání se stakeholdery na téma národní přípravy vzniku Testovacího a experimentálního zařízení v Praze a jeho propojení na ostatní aktéry celého digitálního ekosystému.</t>
  </si>
  <si>
    <t>Hlavním rizikem je nesoulad mezi stakeholdery. Předpokládáme, že nejasnosti se vyřeší konsensem a nedostatečn personální zajištění pro implementaci investice</t>
  </si>
  <si>
    <t>Target 1: vznik a provoz RTF</t>
  </si>
  <si>
    <t>Předložení kvalitního projektu do výzvy z programu Digitální Evropa a získání Evropského testovacího a experimentálního zařízení.</t>
  </si>
  <si>
    <t>Vznik funkčního testovacího a experimentálního zařízení na území ČR a jeho propojení na další subjekty digitálního ekosystému, jako je např. Centrum excelence či EDIH a napojední do evrospké sítě testovacích zařízení finančně podpořeného z programu digitální Evropa a kofinancovaného z programu The Country for the Future.</t>
  </si>
  <si>
    <t>2.1. Programy digitální transformace výrobních i nevýrobních podniků a zvýšení odolnosti (vč. např. kybernetické bezpečnosti)</t>
  </si>
  <si>
    <t>Milestone 1. Příprava národních finančních programů na jednotlivé projekty digitalizace nevýrobních podniků. Může být provázáno na národní digitální ekosystém, ale zaměřeno na konkrétní projekty digitalizace</t>
  </si>
  <si>
    <t>Připravení jednotlivých projektů digitalizace výrobních i nevýrobních podniků. Může být provázáno na národní digitální ekosystém, ale zaměřeno na konkrétní projekty digitalizace</t>
  </si>
  <si>
    <t>Propojení a koordinace národních finančních programů</t>
  </si>
  <si>
    <t>Propojení všech finančních nástrojů (The Country for the future, OP TAK, aj.) a vytvoření prostředí pro financování projektů digitalizace</t>
  </si>
  <si>
    <t>Předpokladem přípravy těchto projektů je záměr zvýšit digitální vysvětlost MSP a hlavním rizikem je nedostatečné personální zajištění pro implementaci investice</t>
  </si>
  <si>
    <t>Zájem ze strany MSP a stakeholderů</t>
  </si>
  <si>
    <t>Target 1: počet podpořených podniků</t>
  </si>
  <si>
    <t>Zlepšení digitální transformace výrobních i nevýrobních podniků a zvýšení jejich odolnosti</t>
  </si>
  <si>
    <t>Analýza jednotlivých podpořených projektů digitalizce výrobních i nevýrobních podniků. Zacílením na MSP docílit zvýšení digitálních procesů.</t>
  </si>
  <si>
    <t>Analýza zvýšení digitální vysvělosti MSP</t>
  </si>
  <si>
    <t>Porovnání záměrů a finálních výsledků v analýze</t>
  </si>
  <si>
    <t>1.6 Podpora kultury a kreativního průmyslu</t>
  </si>
  <si>
    <t>1 Transformace Státního fondu kinematografie na Fond Audiovize</t>
  </si>
  <si>
    <t>Milestone 1 - Schválení návrhu zákona</t>
  </si>
  <si>
    <t>Schválení zákona PSP ČR</t>
  </si>
  <si>
    <t>MK, SFKMG</t>
  </si>
  <si>
    <t>MK</t>
  </si>
  <si>
    <t>Projednání a schválení zákona PSČR.</t>
  </si>
  <si>
    <t>Rizika: prodloužení termínu přijmutí a případné nevhodné úpravy na základě nového složení PSČR po 2022</t>
  </si>
  <si>
    <t>dohled MK</t>
  </si>
  <si>
    <t>Target 7 - Navýšení rozpočtu SFKMG a navýšení počtu úspěšných žádostí o 25 %</t>
  </si>
  <si>
    <t>Počet podpořených žádostí roce 2019 v %</t>
  </si>
  <si>
    <t xml:space="preserve">Podpora širšího spektra kulturních a kreativních odvětví, která s kinematografií úzce souvisí a mají stejné potřeby (videohry, small screen, filmové infrastruktury v tranzitivním období. </t>
  </si>
  <si>
    <t xml:space="preserve">interní mechanismy SFKMG - počet nových žádostí </t>
  </si>
  <si>
    <t>2 Rozvoj regionálního kulturního a kreativního sektoru</t>
  </si>
  <si>
    <t xml:space="preserve">Taget 1 - Rozvoj 10 kulturních a kreativních center </t>
  </si>
  <si>
    <t>počet center</t>
  </si>
  <si>
    <t>Support for the cross-sectoral infratructure projects in local cultural and creative sector</t>
  </si>
  <si>
    <t>Předpoklad: Úspešný trialog mezi MK, kraji a obcemi ohledně nastavení programu. Rizika: Nedostatečné zapojení lokálních samospráv do  programu. Malá administrativní kapacita MK.</t>
  </si>
  <si>
    <t>Dozor MK a MMR</t>
  </si>
  <si>
    <t xml:space="preserve">Milestone 2 - Schválení legislativní změny umožňující vícezdrojové financování kultury </t>
  </si>
  <si>
    <t>Připravit legislativní rámec pro vícezdrojové financování kultury a otevřít veřejnou debatu o struktuře fianncování kultury v ČR.</t>
  </si>
  <si>
    <t>Předpoklad: Úspešný trialog mezi MK, kraji a obcemi ohledně nastavení legislativy. Rizika: odpor lokálních samospráv a kulturních isntitucí k novému zákonu</t>
  </si>
  <si>
    <t>Pracovní skupina krajů, obcí a KKS pod vedením MK</t>
  </si>
  <si>
    <t>3 Digitalizace kulturního a kreativního sektoru</t>
  </si>
  <si>
    <t xml:space="preserve">Target 2 - Podpora 90 projektů digitalizace kultuního obsahu </t>
  </si>
  <si>
    <t>počet podpořených projektů</t>
  </si>
  <si>
    <t>Q2 2025</t>
  </si>
  <si>
    <t>Podpora 90 projektů digitalizace dle vytvořené metodiky</t>
  </si>
  <si>
    <t>Předpoklad: vznik studie digitalizace, dostatečná administrativní kapacita MK,  Rizika: nevhodné nastavení výzvy, disporporce objemu žádostí k disponibilním prostředkům</t>
  </si>
  <si>
    <t>Publikace metodologie na webu MK; Výsledky evaluace programu zveřejněné na webu MK</t>
  </si>
  <si>
    <t>4 Modernizace kulturních institucí</t>
  </si>
  <si>
    <t>Target 3 - Podpora technologické moderznizace 80 subjektů</t>
  </si>
  <si>
    <t>počet subjektů</t>
  </si>
  <si>
    <t>Zvýšit kapacitu min. 80 kulturních subjektů a umožnit jim plnit nové funkce a poskytovat nové služby. Nastavit vhodný systém sdílení kapacit v oblasti technologií a podpořit tři pilotní projekty v této oblasti (pro různé typy kulturních institucí).</t>
  </si>
  <si>
    <t>Předpoklad: dostatečný zájem o program, dostatečné finační prostředky, dostatečná administrativní kapacita MK, zpoždění programu; Rizika: nevhodné nastavení výzvy, disporporce objemu žádostí k disponibilním prostředkům</t>
  </si>
  <si>
    <t>Výsledky evaluace programu zveřejněné na webu MK</t>
  </si>
  <si>
    <t>5 Rozvoj dovedností (skills) a síťování (networking) v kulturním a kreativním sektoru</t>
  </si>
  <si>
    <t xml:space="preserve"> Target 4 - počet projektů v oblasti skills &amp; networking</t>
  </si>
  <si>
    <t>počet projektů</t>
  </si>
  <si>
    <t>Podpořit 100 projektů rozvíjejících skills v rámci kulturního a kreativního sektoru.</t>
  </si>
  <si>
    <t>Rizika: málá informovanost oprávněných žadatelů o možnostech podpory</t>
  </si>
  <si>
    <t>výsledky programu zveřejněné na webu</t>
  </si>
  <si>
    <t>Target 5 - Podpora internacionalizace 500 subjektů v KKS</t>
  </si>
  <si>
    <t>Vytvořit platformu pro internacionalizaci v kulturním a kreativním sektoru a podpořit internacionalizaci 500 subjektů</t>
  </si>
  <si>
    <t>Rizika: důraz pouze na masové akce</t>
  </si>
  <si>
    <t>6 Kreativní vouchery</t>
  </si>
  <si>
    <t>Target 6 - Přidělení 4000 voucherů pro SME</t>
  </si>
  <si>
    <t>počet přidělených voucherů</t>
  </si>
  <si>
    <t>MK, kraje</t>
  </si>
  <si>
    <t xml:space="preserve">Ve čtyřech po sobě jdoucích výzvách (2021-2024) kumulativně přidělit minimálně 4000 kreativních voucherů. </t>
  </si>
  <si>
    <t>Rizika: koncentrace zakázek pouze do určitých odvětví</t>
  </si>
  <si>
    <t xml:space="preserve">Průběžná evaluace programu zveřejněná na webu MK </t>
  </si>
  <si>
    <t>7 Podpora výzkumu a vývoje v oblasti sociálních a humanitních vědy</t>
  </si>
  <si>
    <t>Milestone 3 - vypsání noé výzvy</t>
  </si>
  <si>
    <t>počet výzev</t>
  </si>
  <si>
    <t>TAČR</t>
  </si>
  <si>
    <t>8 Transformace Státního fondu kultury</t>
  </si>
  <si>
    <t>Milestone 4 - Schválení návrhu zákona</t>
  </si>
  <si>
    <t>Rizika: nedostatečná kapacita nového fondu</t>
  </si>
  <si>
    <t>9 Status umělce</t>
  </si>
  <si>
    <t>Milestone 5 - Schválení návrhu zákona</t>
  </si>
  <si>
    <t>Rizika: nevhodné úpravy na základě nového složení PSČR po 2022</t>
  </si>
  <si>
    <t>1.7 Zrychlení a digitalizace stavebního řízení</t>
  </si>
  <si>
    <t>1.Zavedení rekodifikace stavebního práva do praxe</t>
  </si>
  <si>
    <t>Milestone 1. Přijetí nového stavebního zákona</t>
  </si>
  <si>
    <t>Schválení zákona v parlamentu ČR a jeho uveřejnění ve Sbírce zákonů ČR
Nový stavební zákon přináší:
 - zrychlení povolovacích procesů
 - digitalizaci postupů
 - snížení počtu subjektů veřejné správy, se kterými bude muset stavebník jednat</t>
  </si>
  <si>
    <t>Q3 2021</t>
  </si>
  <si>
    <t>Odkaz na legislativu uveřejněnou na internetu</t>
  </si>
  <si>
    <t>MMR</t>
  </si>
  <si>
    <t>Schválení stavebního zákona v parlamentu a vyhlášení ve  Sbírce zákonů</t>
  </si>
  <si>
    <r>
      <rPr>
        <b/>
        <sz val="12"/>
        <rFont val="Times New Roman"/>
        <family val="1"/>
        <charset val="238"/>
      </rPr>
      <t>Předpoklady:</t>
    </r>
    <r>
      <rPr>
        <sz val="12"/>
        <rFont val="Times New Roman"/>
        <family val="1"/>
        <charset val="238"/>
      </rPr>
      <t xml:space="preserve"> Předpokládá se, že zákon bude schválen a vyhlášen v roce 2021. 
</t>
    </r>
    <r>
      <rPr>
        <b/>
        <sz val="12"/>
        <rFont val="Times New Roman"/>
        <family val="1"/>
        <charset val="238"/>
      </rPr>
      <t>Rizika:</t>
    </r>
    <r>
      <rPr>
        <sz val="12"/>
        <rFont val="Times New Roman"/>
        <family val="1"/>
        <charset val="238"/>
      </rPr>
      <t xml:space="preserve"> Rizikem je, že se může schvalovací proces zdržet, nebo dokonce zcela zastavit.</t>
    </r>
  </si>
  <si>
    <t>Uveřejněný zákon ve Sbírce zákonů ČR</t>
  </si>
  <si>
    <t>Milestone 2. Vytvoření struktury NSÚ, včetně podmínek jeho fungování (tj. včetně materiálního a technického zabezpečení)</t>
  </si>
  <si>
    <t xml:space="preserve">Vytvoření Nejvyššího stavebního úřadu včetně jeho organizační struktury.
Finální podoba NSÚ je odvislá od výsledku legislativního procesu u nového stavebního zákona. </t>
  </si>
  <si>
    <t>Q3 2023</t>
  </si>
  <si>
    <t>1) Odkaz na legislativu uveřejněnou na internetu,
2) odkazy na smlouvy uveřejněné v registru smluv týkající se příslušných nákupů</t>
  </si>
  <si>
    <t>MMR/NSÚ</t>
  </si>
  <si>
    <t xml:space="preserve">Vytvoření státní stavební struktury Nejvyššího stavebního úřadu, včetně vnitřních organizačních jednotek. Zajištění finančních, personálních, IT zdrojů, a personálního aparátu, který bude schopen zajistit vytvoření podmínek fungování NSÚ. Součástí aktivity je nákup celkového materiálního zabezpečení NSÚ - bližší specifikace viz Costing a příloha "Costing přílohy", kde je detailně popsáno co bude součástí nákupů i s referencemi na obdobné nákupy </t>
  </si>
  <si>
    <r>
      <rPr>
        <b/>
        <sz val="12"/>
        <rFont val="Times New Roman"/>
        <family val="1"/>
        <charset val="238"/>
      </rPr>
      <t>Předpoklady:</t>
    </r>
    <r>
      <rPr>
        <sz val="12"/>
        <rFont val="Times New Roman"/>
        <family val="1"/>
        <charset val="238"/>
      </rPr>
      <t xml:space="preserve"> Postupných náběhem účinnosti stavebního zákona bude dosaženo vzniku stavební struktury před plnou účinností zákona, a bude možné směrem dolů vystavět novou státní stavební soustavu. vznik vlastní rozpočtové kapitoly NSÚ, personální základ (ekonomové, IT, personalisté) zajištění prostor </t>
    </r>
    <r>
      <rPr>
        <b/>
        <sz val="12"/>
        <rFont val="Times New Roman"/>
        <family val="1"/>
        <charset val="238"/>
      </rPr>
      <t>Rizika:</t>
    </r>
    <r>
      <rPr>
        <sz val="12"/>
        <rFont val="Times New Roman"/>
        <family val="1"/>
        <charset val="238"/>
      </rPr>
      <t xml:space="preserve"> Hrozí, že soustava nebude dotvořena včas, mohou chybět řídící pracovníci jednotlivých úřadů podřízených NSÚ.</t>
    </r>
  </si>
  <si>
    <t>Oficiálně existující úřad disponující zakotvením v legislativě a mající oficiálně stanovené sídlo.</t>
  </si>
  <si>
    <t>Milestone 3. Vytvoření podmínek fungování NSÚ, zadání veřejné zakázky na zajištění školících aktivit (e-learning a další potřebné materiály)</t>
  </si>
  <si>
    <t>Funkční úřad se zajištěnými prostorami a s funkčním úředním aparátem</t>
  </si>
  <si>
    <t xml:space="preserve">Zajištění finančních, personálních, IT zdrojů, a personálního aparátu, který bude schopen zajistit vytvoření podmínek fungování NSÚ. Součástí aktivity je nákup celkového materiálního zabezpečení NSÚ - bližší specifikace viz Costing a příloha "Costing přílohy", kde je detailně popsáno co bude součástí nákupů i s referencemi na obdobné nákupy </t>
  </si>
  <si>
    <r>
      <rPr>
        <b/>
        <sz val="12"/>
        <rFont val="Times New Roman"/>
        <family val="1"/>
        <charset val="238"/>
      </rPr>
      <t>Předpoklady:</t>
    </r>
    <r>
      <rPr>
        <sz val="12"/>
        <rFont val="Times New Roman"/>
        <family val="1"/>
        <charset val="238"/>
      </rPr>
      <t xml:space="preserve"> vznik vlastní rozpočtové kapitoly NSÚ, personální základ (ekonomové, IT, personalisté) zajištění prostor
</t>
    </r>
    <r>
      <rPr>
        <b/>
        <sz val="12"/>
        <rFont val="Times New Roman"/>
        <family val="1"/>
        <charset val="238"/>
      </rPr>
      <t>Riziko:</t>
    </r>
    <r>
      <rPr>
        <sz val="12"/>
        <rFont val="Times New Roman"/>
        <family val="1"/>
        <charset val="238"/>
      </rPr>
      <t xml:space="preserve"> nedostatečná personální podpora, nestihnou se zajistit potřebné prostory,</t>
    </r>
  </si>
  <si>
    <t>Dozor a spolupráce s MMR, které by poskytovalo zázemí do doby soběstačnosti NSÚ</t>
  </si>
  <si>
    <t>Milestone 4. Náběh činnosti NSÚ a konec masivních školících aktivit</t>
  </si>
  <si>
    <t>Přechod agendy z MMR na NSÚ</t>
  </si>
  <si>
    <t>Zajištění kontinuální správní činnosti ve věcech stavebního řádu a územního plánování</t>
  </si>
  <si>
    <r>
      <rPr>
        <b/>
        <sz val="12"/>
        <rFont val="Times New Roman"/>
        <family val="1"/>
        <charset val="238"/>
      </rPr>
      <t>Předpoklady:</t>
    </r>
    <r>
      <rPr>
        <sz val="12"/>
        <rFont val="Times New Roman"/>
        <family val="1"/>
        <charset val="238"/>
      </rPr>
      <t xml:space="preserve"> dostatečně personální zajištění stavební struktury, přesun a uzavření trojstranných dohod se současnými úředníky stavebních zákonů, přesun spisových materiálů, jednotný informační systém,
</t>
    </r>
    <r>
      <rPr>
        <b/>
        <sz val="12"/>
        <rFont val="Times New Roman"/>
        <family val="1"/>
        <charset val="238"/>
      </rPr>
      <t xml:space="preserve">Riziko: </t>
    </r>
    <r>
      <rPr>
        <sz val="12"/>
        <rFont val="Times New Roman"/>
        <family val="1"/>
        <charset val="238"/>
      </rPr>
      <t>nedostatečné personální krytí na úspěšnou realizaci aktivit směřující ke splnění předpokladů, riziko zpoždění jednotilvých aktivit z důvodu povinnosti realizovat veřejné zakázky dle zákona 134/2016Sb. o zadávání veřejných zakázek</t>
    </r>
  </si>
  <si>
    <t>Target 1: Plná účinnost zákona a fungování nové struktury stavebních úřadů</t>
  </si>
  <si>
    <t>rok</t>
  </si>
  <si>
    <t>Statistické výstupy z informačních systémů NSÚ dokazující stavebně správní činnost NSU</t>
  </si>
  <si>
    <t>Plná účinnost nového stavebního zákona a zajištění úplného fungování nové struktury stavebních úřadů</t>
  </si>
  <si>
    <t>Úspěšné zřízení NSÚ a jeho plná funkčnost. Zajištění potřebného technického vybavení pro stavební úředníky (s ohledem na navazující proces digitalizace stavebního řízení a přenosu datově náročné komunikace do online prostředí), zajištění potřebného školení a školících materiálů pro všechny dotčené stakeholdery
Ověřit splnění targetu bude možné po určité době účinnosti zákona a fungování IS.</t>
  </si>
  <si>
    <t>Oficiálně existující úřad vykonávající agendu ve stavebně správních činnostech.</t>
  </si>
  <si>
    <t xml:space="preserve">1. Jednorázové náklady na implementaci rekodifikace </t>
  </si>
  <si>
    <t>Target 2: Studie proveditelnosti, analýzy a evaluace, platformy pro spolupráci, školení, semináře, konference</t>
  </si>
  <si>
    <t>Procento  vyškolených  vedoucích úředníků vykonávajících příslušnou agendu</t>
  </si>
  <si>
    <t>Q2 2023</t>
  </si>
  <si>
    <t>Pro úspěšnou implementaci nového stavebního zákona je nuté proškolit úředníky vykonávající příslušnou agendu před náběhem jeho účinnosti.</t>
  </si>
  <si>
    <t>Dostatečné a kvalitně zpracované školící materiály, za jejichž pomoci bude možno dostatečně vyškolit během doby před účinnosti SZ úředníky vykonávající agendu stavebního zákona.</t>
  </si>
  <si>
    <t>Počet vydaných certifikátů o absolvování školení.</t>
  </si>
  <si>
    <t>Target 3: Studie proveditelnosti, analýzy a evaluace, platformy pro spolupráci, školení, semináře, konference</t>
  </si>
  <si>
    <t>Počet vyškolených projektantů územně plánovací dokumentace pro standardizaci ÚP</t>
  </si>
  <si>
    <t>Pro úspěšnou implementaci standardů zpracování územně plánovací dokumentace je nuté proškolit příslušné zpracovatele/projektanty.</t>
  </si>
  <si>
    <t>Dostatečné a kvalitně zpracované školící materiály, za jejichž pomoci bude možno dostatečně vyškolit během doby před účinnosti SZ projektanty oprávněné zpracovat územně plánovací dokumentaci. Účast na školení nelze vynutit.</t>
  </si>
  <si>
    <t>2. Vytvoření Agendového informačního systému</t>
  </si>
  <si>
    <t>Milestone 3. Vypsání soutěže</t>
  </si>
  <si>
    <t>Zahájení veřejné zakázky na vytvoření AIS</t>
  </si>
  <si>
    <t>Zahájení veřejné zakázky s cílem výběru dodavatele AIS. Realizace dle zákona 134/2016Sb. O zadávání veřejných zakázek</t>
  </si>
  <si>
    <t>Průběžná kontrola harmonogramu</t>
  </si>
  <si>
    <t>Milestone 3. Uzavření smlouvy s výhercem soutěže</t>
  </si>
  <si>
    <t>Zadání veřejné zakázky na vytvoření AIS - tj. uzavření smlouvy s vítězným uchazečem</t>
  </si>
  <si>
    <t>Uveřejněná smlouva v registru smluv</t>
  </si>
  <si>
    <t>Ukončení zadávacího řízení a zahájení implementace AIS</t>
  </si>
  <si>
    <r>
      <rPr>
        <b/>
        <sz val="12"/>
        <rFont val="Times New Roman"/>
        <family val="1"/>
        <charset val="238"/>
      </rPr>
      <t>Předpoklady:</t>
    </r>
    <r>
      <rPr>
        <sz val="12"/>
        <rFont val="Times New Roman"/>
        <family val="1"/>
        <charset val="238"/>
      </rPr>
      <t xml:space="preserve"> Předpokládá se, že zákon bude schválen a vyhlášen v roce 2021. 
</t>
    </r>
    <r>
      <rPr>
        <b/>
        <sz val="12"/>
        <rFont val="Times New Roman"/>
        <family val="1"/>
        <charset val="238"/>
      </rPr>
      <t>Rizika:</t>
    </r>
    <r>
      <rPr>
        <sz val="12"/>
        <rFont val="Times New Roman"/>
        <family val="1"/>
        <charset val="238"/>
      </rPr>
      <t xml:space="preserve"> Rizikem je, že se může schvalovací proces zdržet, nebo dokonce zcela zastavit. Zároveň může dojít ke zdržení při realizaci veřejné zakázky (námitky, řízení před ÚOHS, atd.)</t>
    </r>
  </si>
  <si>
    <t>Podepsaná smlouva, která je uveřejněna v registru smluv</t>
  </si>
  <si>
    <t>Milestone 4. Dokončení implementace AIS a jeho uvedení do ostrého provozu</t>
  </si>
  <si>
    <t>Dokončení implementace AIS - jeho spuštění do ostrého provozu a možnost jeho využití ze strany stavebních úředníků, úředníků dotčených orgánů, atd.</t>
  </si>
  <si>
    <t>Webová adresa, kde bude AIS dostupný</t>
  </si>
  <si>
    <t>Vytvoření AIS, ověření jeho funkčnosti, příprava a provedení spisové rozluky (v návaznosti na finálně schálenou legislativu) a postupné uvedení do ostrého provozu</t>
  </si>
  <si>
    <r>
      <rPr>
        <b/>
        <sz val="12"/>
        <rFont val="Times New Roman"/>
        <family val="1"/>
        <charset val="238"/>
      </rPr>
      <t>Předpoklady:</t>
    </r>
    <r>
      <rPr>
        <sz val="12"/>
        <rFont val="Times New Roman"/>
        <family val="1"/>
        <charset val="238"/>
      </rPr>
      <t xml:space="preserve"> úspěšné dokončení předchozích aktivit
</t>
    </r>
    <r>
      <rPr>
        <b/>
        <sz val="12"/>
        <rFont val="Times New Roman"/>
        <family val="1"/>
        <charset val="238"/>
      </rPr>
      <t>Rizika</t>
    </r>
    <r>
      <rPr>
        <sz val="12"/>
        <rFont val="Times New Roman"/>
        <family val="1"/>
        <charset val="238"/>
      </rPr>
      <t>: zdržení v implementaci z technických důvodů či důvodů na straně dodavatele, složitost procesu provedení spisové rozluky</t>
    </r>
  </si>
  <si>
    <t>Spuštěný systém, který je dostupný prostřednictvím sítě internet.</t>
  </si>
  <si>
    <t>Target 2: Vybudování jednotného, centrálního AIS</t>
  </si>
  <si>
    <t>počet IS</t>
  </si>
  <si>
    <t>Vytvoření AIS, ověření jeho funkčnosti a postupné uvedení do ostrého provozu</t>
  </si>
  <si>
    <r>
      <rPr>
        <b/>
        <sz val="12"/>
        <rFont val="Times New Roman"/>
        <family val="1"/>
        <charset val="238"/>
      </rPr>
      <t>Předpoklady</t>
    </r>
    <r>
      <rPr>
        <sz val="12"/>
        <rFont val="Times New Roman"/>
        <family val="1"/>
      </rPr>
      <t xml:space="preserve">: úspěšné dokončení předešlých aktivit
</t>
    </r>
    <r>
      <rPr>
        <b/>
        <sz val="12"/>
        <rFont val="Times New Roman"/>
        <family val="1"/>
        <charset val="238"/>
      </rPr>
      <t>Rizika</t>
    </r>
    <r>
      <rPr>
        <sz val="12"/>
        <rFont val="Times New Roman"/>
        <family val="1"/>
      </rPr>
      <t>: zdržení v implementaci z důvodů uvedených výše</t>
    </r>
  </si>
  <si>
    <t>1.3 Posílení výpočetní techniky úředníků při výkonu stavební agendy</t>
  </si>
  <si>
    <t>Milestone 1. Příprava způsobu financování</t>
  </si>
  <si>
    <t>Rozhodnutí o procesním zaijštění veřejné zakázky/dotace na nákup potřebné výpočetní techniky</t>
  </si>
  <si>
    <t>Volba finančních zdrojů k uspokojení potřeb, příprava projektu a žádost o dotaci/jiné finanční zdroje</t>
  </si>
  <si>
    <r>
      <rPr>
        <b/>
        <sz val="12"/>
        <rFont val="Calibri"/>
        <family val="2"/>
        <charset val="238"/>
        <scheme val="minor"/>
      </rPr>
      <t>Předpoklady:</t>
    </r>
    <r>
      <rPr>
        <sz val="12"/>
        <rFont val="Calibri"/>
        <family val="2"/>
        <scheme val="minor"/>
      </rPr>
      <t xml:space="preserve"> rozhodnutí o gestorství daného úkolu
</t>
    </r>
    <r>
      <rPr>
        <b/>
        <sz val="12"/>
        <rFont val="Calibri"/>
        <family val="2"/>
        <charset val="238"/>
        <scheme val="minor"/>
      </rPr>
      <t>Rizika:</t>
    </r>
    <r>
      <rPr>
        <sz val="12"/>
        <rFont val="Calibri"/>
        <family val="2"/>
        <scheme val="minor"/>
      </rPr>
      <t xml:space="preserve"> nenalezení potřebných finančních zdrojů</t>
    </r>
  </si>
  <si>
    <t>Podání žádosti o dotaci/jiného zdroje financování</t>
  </si>
  <si>
    <t>Milestone 2. Vypsání soutěže</t>
  </si>
  <si>
    <t>Zahájení veřejné zakázky/dotačního titulu na pořízení výpočetní techniky</t>
  </si>
  <si>
    <t>Zahájení veřejné zakázky s cílem výběru dodavatele. Realizace dle zákona 134/2016Sb. O zadávání veřejných zakázek</t>
  </si>
  <si>
    <t>Zadání veřejné zakázky/ukončení dotačního titulu na nákup potřebné výpočetní techniky</t>
  </si>
  <si>
    <t>Ukončení zadávacího řízení a zahájení převodu HW na úřady</t>
  </si>
  <si>
    <t>Milestone 4. Realizace</t>
  </si>
  <si>
    <t>Dodání zakoupené výpočetní techniky na cílová místa</t>
  </si>
  <si>
    <t>Dodávka potřebného HW na stavební úřady</t>
  </si>
  <si>
    <r>
      <rPr>
        <b/>
        <sz val="12"/>
        <rFont val="Times New Roman"/>
        <family val="1"/>
        <charset val="238"/>
      </rPr>
      <t>Předpoklady:</t>
    </r>
    <r>
      <rPr>
        <sz val="12"/>
        <rFont val="Times New Roman"/>
        <family val="1"/>
        <charset val="238"/>
      </rPr>
      <t xml:space="preserve"> úspěšné dokončení předchozích aktivit
</t>
    </r>
    <r>
      <rPr>
        <b/>
        <sz val="12"/>
        <rFont val="Times New Roman"/>
        <family val="1"/>
        <charset val="238"/>
      </rPr>
      <t>Rizika</t>
    </r>
    <r>
      <rPr>
        <sz val="12"/>
        <rFont val="Times New Roman"/>
        <family val="1"/>
        <charset val="238"/>
      </rPr>
      <t>: zdržení v implementaci z technických důvodů či důvodů na straně dodavatele</t>
    </r>
  </si>
  <si>
    <t>Target 1: Dostatečně výkonný HW na úřadě</t>
  </si>
  <si>
    <t>úřad</t>
  </si>
  <si>
    <t xml:space="preserve">Počet úřadů, jež obdrží novou výpočetní techniku </t>
  </si>
  <si>
    <t>kontrola dodaného HW na stavebních úřadech</t>
  </si>
  <si>
    <t>3. Rozvoj a využití datového fondu veřejné správy v územním plánování</t>
  </si>
  <si>
    <t>Milestone 5. Definován jednotný datový model ÚAP</t>
  </si>
  <si>
    <t xml:space="preserve">Zveřejněná metodika jednotného datového modelu ÚAP </t>
  </si>
  <si>
    <t>Webová adresa, kde bude metodika zveřejněna (web MMR - sekce stavební právo -  stanoviska a metodiky).</t>
  </si>
  <si>
    <t>Pro vytvoření standardizovaných databází ÚAP je nezbytné vytvořit jednotný datový model databáze ÚAP, jeho zveřejnění bude provedeno metodikou Ministerstva pro místní rozvoj. Na základě této metodiky budou následně převedeny stávající databáze ÚAP krajů do jednotného datového modelu tak, aby je bylo možno využít pro naplnění centrální databáze ÚAP v prostředí Národního geoportálu územního plánování (centrální informační systém územního plánování) a umožnit jejich společné využívání na všech úrovních - republikové, krajské, obecní.</t>
  </si>
  <si>
    <t>Předpoklad: Ministerstvo pro místní rozvoj musí zadat veřejnou zakázku na vytvoření jednotného datového modelu ÚAP (jedná se o plánovanou VZ, která by měla být zadána v první polovině roku 2021), součástí bude i dodání kontrolního nástroje pro validaci dat. Smlouva na vytvoření datového standardu bude požadovat splnění otevřené formální normy pro prostorová data (https://ofn.gov.cz/prostorov%C3%A1-data/2019-08-22/ ) .
Riziko: Nevhodné technické řešení, které by bránilo širokému využití databáze napříč veřejnou správou a publikaci vybraných dat ve formě opendat.</t>
  </si>
  <si>
    <t>Dostupná metodika na webu MMR.</t>
  </si>
  <si>
    <t>Milestone 6. Vytvoření standardizovaných databází ÚAP</t>
  </si>
  <si>
    <t>Standardizovaná databáze ÚAP - doklad o validaci dat (protokol).</t>
  </si>
  <si>
    <t xml:space="preserve">Protokoly budou k dispozici u správce validačního nástroje (MMR). </t>
  </si>
  <si>
    <t>MMR ve spolupráci s KÚ</t>
  </si>
  <si>
    <t>Převedená databáze ÚAP kraje bude zvalidována kontrolním nástrojem, který zajistí kontrolu souladu dat s datovým modelem - prokáže se validačním protokolem. Za přípravu a zpřístupnění kontrolního nástroje je zodpovědné Ministerstvo pro místní rozvoj, stane se součástí národního geoportálu územního plánování, kam budou data databáze ÚAP následně nahrána.</t>
  </si>
  <si>
    <t xml:space="preserve">Předpoklad: Pro zajištění validace dat musí Ministerstvo pro místní rozvoj zajistit zpřístupnění kontrolního nástroje. Před převodem databáze dojde k aktualizaci dat v souvislosti se vznikem digitálních technických map krajů.
Riziko: Zdržení v realizaci DTM krajů.
</t>
  </si>
  <si>
    <t>Doložení protokolu o validaci dat databáze ÚAP.</t>
  </si>
  <si>
    <t>Target 3: Dostupnost standardizovaných databází ÚAP</t>
  </si>
  <si>
    <t xml:space="preserve">% rozloha území České republiky pokrytá daty ÚAP v jednotném datovém modelu dle MMR/NSÚ </t>
  </si>
  <si>
    <t xml:space="preserve">Data databáze budou dostupná na národním geoportálu územního plánování. </t>
  </si>
  <si>
    <t>Jednotná databáze ÚAP bude součástí informačního systému územního plánování - NGÚP, který je v současné době připravován v rámci projektu digitalizace stavebního řízení a územního plánování. Data do úložiště vloží KÚ, jejich následnou aktualizaci budou již zajišťovat jednotlivý pořizovatele ÚAP.</t>
  </si>
  <si>
    <t>Předpoklad: Spuštění národního geoportálu územního plánování (centrální informační systém územního plánování) - předpoklad k 1.7.2023 (termín vyplývá ze stavebního zákona), veřejná zakázka na zadání tohoto systému MMR se aktuálně připravuje. 
Riziko: Zdržení v realizaci národního geoportálu územního plánování.</t>
  </si>
  <si>
    <t xml:space="preserve">Databáze, která je dostupná prostřednictvím sítě internet (přístup přes  národní geoportál územního plánování). </t>
  </si>
  <si>
    <t>4. Plné využití přínosů digitalizace stavebního řízení</t>
  </si>
  <si>
    <t xml:space="preserve">Milestone 7: Zadání veřejných zakázek pro vytvoření IS požadavků na stavby a souvisejících digitálních služeb v rámci agendy stavebního řízení  </t>
  </si>
  <si>
    <t>Zadání veřejných zakázek na vytvoření IS - tj. uzavření smluv s vítěznými uchazeči na:
 - systém propojení požadavků prováděcích právních předpisů na určené technické normy
 - systém strukturovaných požadavků na údaje o stavbě a postupů jejich validací a kontrol v rámci povolovacích procesů vč. ontologie
 - systém pro správu a prezentaci obsahu Datového standardu staveb pro využití informačních modelů staveb (BIM) orgány veřejné moci</t>
  </si>
  <si>
    <t>Uveřejněné smlouvy v registru smluv</t>
  </si>
  <si>
    <t>ČAS/ÚNMZ ve spolupráci s MMR</t>
  </si>
  <si>
    <t>Ukončení zadávacího řízení a zahájení tvorby systémů.</t>
  </si>
  <si>
    <t>Předpoklady: ČAS/ÚNMZ a MMR musí zadat veřejné zakázky na pořízení uvedených IS a souvisejících komponent při zajištění ochrany autorských práv k TN a dodržení povinností vyplývajících ze ZKB.
Rizika: Může dojít ke zdržení při realizaci veřejné zakázky (námitky, řízení před ÚOHS, atd.).</t>
  </si>
  <si>
    <t>Milestone 10: Návrh nástrojů vč. testování</t>
  </si>
  <si>
    <t>Vytvořeny návrhy nástrojů pro realizaci IS a souvisejících komponent.</t>
  </si>
  <si>
    <t>Je navržena databáze pro ukládání jednotlivých úkonů, jejich požadavků a validačních scénářů, navržen formální jazyk pro strukturovaný popis jednotlivých kontrol a reportingových úloh umožňující parametrickou specifikaci kontrol a úloh, řešení IS Strukturovaných požadavků (základní komponenty knihovny pro přístup k IS, uživatelské rozhraní pro správu IS a jednotlivých komponent systému, koncept webového portálu a dokumentace API rozhraní), nastaveno plnění systému pro správu ontologií.</t>
  </si>
  <si>
    <t xml:space="preserve">Předpoklad: Dokončení předchozí aktivity a souvisejících aktivit.
Rizika: Informační systém a jeho komponenty budou realizovány jako spolupracující komponenty systémů DSŘ resp. eGovernmentu. Vznik systémů bude probíhat souběžně s přípravou ostatních komponent systému DSŘ, rizikem je proto také časové zpoždění z důvodů případného čekání na dosažení nutných milníků při přípravě a realizaci integračních vazeb mezi systémy.
</t>
  </si>
  <si>
    <t xml:space="preserve">Milestone 8 : Dokončení realizace IS </t>
  </si>
  <si>
    <t>Dokončení a spuštění IS: 
 -  systém propojení požadavků prováděcích právních předpisů na určené technické normy
 - systém strukturovaných požadavků na údaje o stavbě a postupů jejich validací a kontrol v rámci povolovacích procesů vč. ontologie
 - systém pro správu a prezentaci obsahu Datového standardu staveb pro využití informačních modelů staveb (BIM) orgány veřejné moci</t>
  </si>
  <si>
    <t>Webová adresa, kde budou IS dostupné.</t>
  </si>
  <si>
    <t>ČAS/ÚNMZ</t>
  </si>
  <si>
    <t>Bude pořízen:
 - veřejně přístupný systém (IS), který bude začleněn do portálu stavebníka s propojením na elektronický Věstník ÚNMZ, a který bude udržovat mapování mezi ustanoveními stavebních prováděcích právních předpisů, které určují technické normy, a ustanoveními určených technických norem. Zamýšlený systém je podstatnou součástí digitální infrastruktury z toho důvodu, že prostřednictvím určených norem nebo jejich částí se naplňují požadavky prováděcích právních předpisů ke stavebnímu zákonu (současnému i budoucímu novelizovanému)
 - IS strukturovaných požadavků na údaje o stavbách a kontrolách digitálních modelů stavby v návaznosti na datový standard staveb a klasifikační systém CCI připravovaný v rámci koncepce BIM vč. knihoven umožňujících pomocí API rozhraní zpřístupňovat služby pro provádění selektivních kontrol digitálních modelů staveb ve formátu IFC (BIM) se stanovenými požadavky
 - IS pro správu a prezentaci obsahu Datového standardu staveb (DSS), který popisuje jednotllivé datové šablony digitálního modelu stavby v kontextu jednotlivých fází životního cyklu stavby a jednotlivých účelů užití dat. Vytvoření potřebného obsahu DSS je nezbytnou podmínkou pro vytvoření služeb pro OVM využívajících informační modely staveb (BIM).</t>
  </si>
  <si>
    <t>Cílem této investice je pořízení informačních systémů a pořízení obsahu databáze včetně přípravy několika a metodik.
Dodavatele inf. systémů budou soutěženi dle zákona 134/2016Sb. o zadávání veřejných zakázek. Rizikem je zde zpoždění v dodání IS, a to z důvodu delšího zadávání veřejných zakázkek.
Vytvořený informační systém bude realizován jako spolupracující komponenta systémů DSŘ resp. eGovernmentu. Implementace systému bude probíhat souběžně s přípravou ostatních komponent systému DSŘ, rizikem je proto také časové zpoždění z důvodů případného čekání na dosažení nutných milníků při přípravě a realizaci integračních vazeb mezi systémy.
U tvorby obsahu DSS jsou rizika ve velké šíři podkladů, které musí v plánovaných a koordinovaných celcích postupně skládat komplexní DSS.</t>
  </si>
  <si>
    <t>Spuštěné systémy, které jsou dostupné prostřednictvím sítě internet.</t>
  </si>
  <si>
    <t xml:space="preserve">Target 4: Vytvoření IS požadavků na stavby a souvisejících digitálních služeb v rámci agendy stavebního řízení  </t>
  </si>
  <si>
    <t>Počet IS</t>
  </si>
  <si>
    <t>Realizace IS a všech potřebných komponent, ověření jejich funkčnosti a uvedení do ostrého provozu. Vytvoření tohoto společně provázaného prostředí umožní plné využití přínosů digitálních podkladů stavebních řízení.</t>
  </si>
  <si>
    <t xml:space="preserve">Předpoklady: Dokončení všech souvisejících aktivit.
Rizika: Dodavatelé těchto systémů a metodik budou soutěženi dle zákona 134/2016Sb. o zadávání veřejných zakázek. Rizikem je zde zpoždění v dodání IS, a to z důvodu delšího zadávání veřejných zakázkek.
Vytvořené informační systémy budou realizovány jako spolupracující komponenty systémů DSŘ resp. eGovernmentu. Vznik systémů bude probíhat souběžně s přípravou ostatních komponent systému DSŘ, rizikem je proto také časové zpoždění z důvodů případného čekání na dosažení nutných milníků při přípravě a realizaci integračních vazeb mezi systémy.
</t>
  </si>
  <si>
    <t>Existující IS, které jsou v provozu.</t>
  </si>
  <si>
    <t>5. Posílení centrálních komunikačních komponent pro gigabitovou konektivitu</t>
  </si>
  <si>
    <t xml:space="preserve">Milestone 9. Zadaná veřejná zakázka na posílení centrálních komponent </t>
  </si>
  <si>
    <t>Zadaná veřejná zakázka na posílení centrálních komponent - tj. bude vybrán dodavatel/dodavatelé, kteří dané posílení budou realizovat.</t>
  </si>
  <si>
    <t>MV/MMR</t>
  </si>
  <si>
    <t>Zadaná veřejná zakázka na posílení centrálních komponent - tj. bude vybrán dodavatel/dodavatelé, kteří dané posílení budou realizovat. Dojde k zahájení prací spočívajících v posílení centrálních komponent.</t>
  </si>
  <si>
    <t>Předpoklady: dohoda s relevantními stakeholdery nad finálním zadáním týkající se posílení centrálních komponent
Rizika : Dodavatelé těchto systémů a metodik budou soutěženi dle zákona 134/2016Sb. o zadávání veřejných zakázek. Rizikem je zde zpoždění v dodání IS, a to z důvodu delšího zadávání veřejných zakázkek.</t>
  </si>
  <si>
    <t>Target 5: Připravenost centrálních komunikačních ISVS</t>
  </si>
  <si>
    <t>Počet centrálních komunikačních prvků s přenosovou kapacitou 100 Gbit/sekundu</t>
  </si>
  <si>
    <t>Odkaz na služby poskytované MV prostřednictvím CMS a KIVS, kde budou uvedeny hodnoty každého jednotlivého připojení 1Gbit/sekundu nebo více</t>
  </si>
  <si>
    <t>Modifikace centrální komponenty CMS, tedy propojovacího bloku tak, aby celek jako takový byl schopen přenést datový tok 100 Gbit/s</t>
  </si>
  <si>
    <t>Předpoklady: Definice potřeb na cílovou infrastrukturu.
Rizika : Rizikem je zde zpoždění v rozšíření potřebné infrastruktury, a to z důvodu delšího zadávání veřejné zakázky.</t>
  </si>
  <si>
    <t>Realizovaná modifikace centrálního řešení na přenosovou kapacitu 100Gbit/s</t>
  </si>
  <si>
    <t>2.2 Snižování spotřeby energie</t>
  </si>
  <si>
    <t>1.1. Realizace energeticky úsporných opatření při rekonstrukci státních budov</t>
  </si>
  <si>
    <t>Milestone 1. Schválení způsobu podpory a vyhlášení výzvy k předkládání projektů.</t>
  </si>
  <si>
    <t>approval at the national level</t>
  </si>
  <si>
    <t>until the end of the 2021</t>
  </si>
  <si>
    <t>Ministry of Industry and Trade</t>
  </si>
  <si>
    <t>The Ministry of Industry and Trade, in cooperation with other responsible bodies, will prepare methodologies for the method of drawing funds and set technical requirements for projects that will be listed in the call.</t>
  </si>
  <si>
    <t>Delayed approval of the National Recovery Plan; lack of information / conditions for practical implementation</t>
  </si>
  <si>
    <t xml:space="preserve">continuous calls will be announced publicly  on the website </t>
  </si>
  <si>
    <t>Milestone 2. výběr projektů/zazávazkování 75 % alokovaných prostředků</t>
  </si>
  <si>
    <t>volume of committed funds</t>
  </si>
  <si>
    <t>assumption the baseline to be zero</t>
  </si>
  <si>
    <t>2022 - 2023</t>
  </si>
  <si>
    <t>based on information from Operational Programme Environment</t>
  </si>
  <si>
    <t>Projects will be submitted to the MIT within continuous call and evaluated based on criteria. Suitable projects will be chosen for realization. The 75% target refers to projects with grant agreement. Realization of first suitable projects</t>
  </si>
  <si>
    <t>insufficient project readiness</t>
  </si>
  <si>
    <t>Number and scale  of selected applications for financial support.</t>
  </si>
  <si>
    <t>Milestone 3. zazávazkování zbývajích alokovaných prostředků/realizace projektů</t>
  </si>
  <si>
    <t>balance of 25% of funds</t>
  </si>
  <si>
    <t>until the end of the mid 2025</t>
  </si>
  <si>
    <t xml:space="preserve">Projects will be submitted to the MIT and evaluated based on criteria. Suitable projects will be chosen for realization. Grant agreement for the whole allocation. Realization of suitable projects. </t>
  </si>
  <si>
    <t>Milestone 4. Snížení spotřeby energie o x TJ (MWh)</t>
  </si>
  <si>
    <t>TJ</t>
  </si>
  <si>
    <t>216,64 TJ</t>
  </si>
  <si>
    <t>based on specific cost from Operational Programme Environment</t>
  </si>
  <si>
    <t>Evaluation of energy savings. Amount of saved energy wil be determined by measuring and/or estimating consumption before and after implementation of an energy efficiency improvement measure, whilst ensuring normalisation for external conditions that affect energy consumption</t>
  </si>
  <si>
    <t>assumption of 100 % use of subsidy/delays in the realization of renovation projects</t>
  </si>
  <si>
    <t>assumption of 100 % use of subsidy</t>
  </si>
  <si>
    <t>information about final energy consumption based on Energy Perfomance Certificate of the building or energy assessment</t>
  </si>
  <si>
    <t>1.2. Realizace energeticky úsporných opatření při rekonstrukci systémů veřejného osvětlení</t>
  </si>
  <si>
    <t>Milestone 1. vyhlášení výzvy</t>
  </si>
  <si>
    <t>Q1 2021/2022/2023/2024</t>
  </si>
  <si>
    <t xml:space="preserve"> the calls will be anounced annually</t>
  </si>
  <si>
    <t xml:space="preserve">calls will be announced publicly  on the website </t>
  </si>
  <si>
    <t>Milestone 2. výběr projektů</t>
  </si>
  <si>
    <t>Q2 2021/2022/2023/2024</t>
  </si>
  <si>
    <t>based on specific knowledge from the EFEKT program - absorption capacity</t>
  </si>
  <si>
    <t>the evaluation and the project selection will happen annually, by the Q2 of 2024 80 % of assumed projects shall be approved, therefore 80 % of allocated amount of funding shall receive the grant agreement</t>
  </si>
  <si>
    <t>Number and scale of selected applications for financial support.</t>
  </si>
  <si>
    <t>Milestone 3. realizace</t>
  </si>
  <si>
    <t>balance of 20 % of funds</t>
  </si>
  <si>
    <t>Q4 2021/2022/2023/2024/2025</t>
  </si>
  <si>
    <t xml:space="preserve"> the project realization will happen annually, by the end of 2025 it is assumed that all project will be completed.</t>
  </si>
  <si>
    <t xml:space="preserve"> 286,76 TJ</t>
  </si>
  <si>
    <t xml:space="preserve">Q2 2026
</t>
  </si>
  <si>
    <t>based on specific cost from EFEKT programme special goal public lighting</t>
  </si>
  <si>
    <t>Evaluation of energy savings. Amount of saved energy wil be determined by measuring and/or estimating consumption before and after implementation of an energy efficiency improvement measure, whilst ensuring normalisation for external conditions that affect energy consumption
Evaluation of the calls will be anual, final evaluation will be carried out in Q1 2026 .</t>
  </si>
  <si>
    <t>assumption of 50 % - 100 % use of subsidy/delays in the realization of renovation projects</t>
  </si>
  <si>
    <t>assumption of 50 % use of subsidy</t>
  </si>
  <si>
    <t>information about final energy consumption based on energy assessment/mettering of final energy consumption</t>
  </si>
  <si>
    <t>2.3 Transformace průmyslu a přechod na čistší zdroje energie</t>
  </si>
  <si>
    <t>1.1. Development of new fotovoltaic energy sources</t>
  </si>
  <si>
    <t>Zvýšení instalovaného výkonu FVE</t>
  </si>
  <si>
    <t>Increase on installed capacity of FVE sources</t>
  </si>
  <si>
    <t>Instalovaný výkon</t>
  </si>
  <si>
    <t>Installed capacity</t>
  </si>
  <si>
    <t>MWp</t>
  </si>
  <si>
    <t>Rok 2019: 2 086 MWp</t>
  </si>
  <si>
    <t>Year 2019: 2 086 MWp</t>
  </si>
  <si>
    <t>270 MWp</t>
  </si>
  <si>
    <t>8/2026</t>
  </si>
  <si>
    <t>Vychází z historických nákladů zejména v rámci OPPIK s dílčími úpravami, které reflektují dílčí změny podmínek.</t>
  </si>
  <si>
    <t>It is based on historical costs, especially using the OPPIK with partial adjustments that reflect partial changes in conditions.</t>
  </si>
  <si>
    <t>Milník je definován jako přírůstek instalovaného výkonu (v MWp). Jedná se o standartní a průkazný indikáror/milník.</t>
  </si>
  <si>
    <t xml:space="preserve">
A milestone is defined as an increase in installed capacity (in MWp). This is a standard and conclusive indicator / milestone.</t>
  </si>
  <si>
    <t>Vychází z historických hodnot s určitou korekcí reflektující dílčím způsobem odlišné podmínky. Přijaty určité předpoklady o podílu projektů s akumulací, které vycházejí z historických údajů, ale které se mohou dílčím způsobem lišit (viz detailnější informace v rámci "costingu").</t>
  </si>
  <si>
    <t>It is based on historical values ​​with a certain correction reflecting in part different conditions. Certain assumptions have been made about the share of accumulation projects, which are based on historical data but which may differ in some ways (see more detailed information in the "costing").</t>
  </si>
  <si>
    <t>Bude nastaveno jako indikátor v podmínkách čerpání dotace. Jednotlivé projekty budou mít za povinost vykázákí tohoto indikátoru.</t>
  </si>
  <si>
    <t>It will be set as an indicator in the conditions for receiving of public funding. Individual projects will be required to report contribution of the project with regards to this indicator.</t>
  </si>
  <si>
    <t>1.2. Modernization of distribution of heat in district heating systems</t>
  </si>
  <si>
    <t>Modernizace rozvojů tepla</t>
  </si>
  <si>
    <t xml:space="preserve">Modernization of heat distribution </t>
  </si>
  <si>
    <t>Délka modernizovaných rozvodů tepla</t>
  </si>
  <si>
    <t xml:space="preserve">Length of modernized heat distribution </t>
  </si>
  <si>
    <t>v km</t>
  </si>
  <si>
    <t>km</t>
  </si>
  <si>
    <t>Rok 2018: 1 385,9 km (parní rozvody)</t>
  </si>
  <si>
    <t>Rok 2018: 1 385,9 km (distribution via steam)</t>
  </si>
  <si>
    <t>115 km</t>
  </si>
  <si>
    <t>Milník je definován jako přírůstek
délka modernizovaných/rekonstruovaných rozvodů tepla (v km). Jedná se o standartní a průkazný indikáror/milník.</t>
  </si>
  <si>
    <t xml:space="preserve">
A milestone is defined as an increment
length of modernized / reconstructed heat distribution (in km). This is a standard and conclusive indicator / milestone.</t>
  </si>
  <si>
    <t>Vychází z historických hodnot s určitou korekcí reflektující dílčím způsobem odlišné podmínky. Jedná se o průměrné hodnoty, u individuálních projektů může být odlišné.</t>
  </si>
  <si>
    <t>It is based on historical values ​​with a certain correction reflecting in part different conditions. These are average values, for individual projects it may be different.</t>
  </si>
  <si>
    <t>2.4 Rozvoj čisté mobility</t>
  </si>
  <si>
    <t>1.1 Budování veřejné infrastruktury *</t>
  </si>
  <si>
    <t>Milestone 1. Schválení programu</t>
  </si>
  <si>
    <t>MD schválí program na budování veřejné infrastruktury</t>
  </si>
  <si>
    <t>X</t>
  </si>
  <si>
    <t>Statistika MPO, správci příslušného programu</t>
  </si>
  <si>
    <t>MPO a příslušný správce programů</t>
  </si>
  <si>
    <t>Správce programu připraví návrh programu</t>
  </si>
  <si>
    <t>Předpokladem je schválení programu NPO a navazujících realizačních programů/schvalovací proces a absorbční kapacita</t>
  </si>
  <si>
    <t>Zveřejnění zprávy správcem programu</t>
  </si>
  <si>
    <t>Milestone 2. příprava výzvy</t>
  </si>
  <si>
    <t>MD připraví výzvu na budování veřejné infrastruktury</t>
  </si>
  <si>
    <t>Správce programu připraví výzvu</t>
  </si>
  <si>
    <t>Milestone 3 zveřejnění výzvy</t>
  </si>
  <si>
    <t>MD zveřejní výzvu na budování veřejné infrastruktury</t>
  </si>
  <si>
    <t>Správce programu zveřejní výzvu</t>
  </si>
  <si>
    <t>Milestone 4. příjem žádostí a výběr projektů</t>
  </si>
  <si>
    <t>MD přijalo žádosti a vybralo projekty na budování veřejné infrastruktury</t>
  </si>
  <si>
    <t>Správce projektu provede výběr projektů z došlých žádostí</t>
  </si>
  <si>
    <t>Milestone 5. Zasmluvnění 4 veřejných vodíkových plniček, 2354 veřejných dobíjecích bodů</t>
  </si>
  <si>
    <t>MD zasmluvní projekty na budování veřejných vodíkových plniček</t>
  </si>
  <si>
    <t>Správce programu uzavře smlouvy s vybranými žadateli</t>
  </si>
  <si>
    <t>Target 1: počet dobíjecích bodů</t>
  </si>
  <si>
    <t>ks</t>
  </si>
  <si>
    <t>navýšit počet bobíjecích bodů veřejné infrastruktury na 2354 (ultrarychlé 500, rychlé 795, pomalé 970)</t>
  </si>
  <si>
    <t>1740 (360 ultrarychlé, 630 rychlé, 750 pomalé) - Q4 2024</t>
  </si>
  <si>
    <t>Smluvní realizátoři vybudují  2354 dobíjecích bodů.</t>
  </si>
  <si>
    <t>Target 2: počet vodíkových plniček</t>
  </si>
  <si>
    <t>navýšit počet vodíkových plniček o 4</t>
  </si>
  <si>
    <t>2 ks - Q4 2024</t>
  </si>
  <si>
    <t>Smluvní realizátoři vybudují  4 vodíkové plničky</t>
  </si>
  <si>
    <t>1.2 Budování infrastruktury pro veřejnou dopravu (Praha)*</t>
  </si>
  <si>
    <t>Hl. město Praha schválí program na budování infrastruktury pro veřejnou dopravu</t>
  </si>
  <si>
    <t>Správci příslušného programu</t>
  </si>
  <si>
    <t>Hl. město Praha připraví výzvu na budování infrastruktury pro veřejnou dopravu</t>
  </si>
  <si>
    <t>Hl. město Praha zveřejní výzvu na budování infrastruktury pro veřejnou dopravu</t>
  </si>
  <si>
    <t>Hl. město Praha přijalo žádosti a vybralo projekty  na budování infrastruktury pro veřejnou dopravu</t>
  </si>
  <si>
    <t>Milestone 5. Zasmluvnění 33 dobíjecích bodů pro veřejnou dopravu</t>
  </si>
  <si>
    <t>Hl. město Praha zasmluvní projekty na budování infrastruktury pro veřejnou dopravu</t>
  </si>
  <si>
    <t>Target 1: Počet dobíjecích bodů</t>
  </si>
  <si>
    <t>není známo</t>
  </si>
  <si>
    <t>navýšit počet dobíjecích bodů pro veřejnou dopravu (Praha) o 33 (23 rychlé, 10  pomalé)</t>
  </si>
  <si>
    <t>24 (18 rychlé, 6 pomalé) - 4Q 2024</t>
  </si>
  <si>
    <t>Smluvní realizátoři vybudují  33 dobíjecích bodů pro veřejnou dopravu v Praze</t>
  </si>
  <si>
    <t xml:space="preserve">1.3 Budování neveřejné infrastruktury </t>
  </si>
  <si>
    <t>MPO schválí program na budování neveřejné infrastruktury</t>
  </si>
  <si>
    <t>MPO připraví výzvu na budování neveřejné infrastruktury</t>
  </si>
  <si>
    <t>MPO zveřejní výzvu na budování neveřejné infrastruktury</t>
  </si>
  <si>
    <t>MPO přijalo žádosti a vybralo projekty na budování neveřejné infrastruktury</t>
  </si>
  <si>
    <t>Milestone 5. Zasmluvnění dobíjecí infrastruktury pro obytné budovy (minimálně 1940 dobíjeccíh bodů)</t>
  </si>
  <si>
    <t>MPO zasmluvnilo projekty na budování neveřejné infrastruktury</t>
  </si>
  <si>
    <t>správci příslušného programu</t>
  </si>
  <si>
    <t>navýšit počet dobíjecích bodů  pro obytné budovy o 1940</t>
  </si>
  <si>
    <t>1211 (176 rychlé, 1035 pomalé)- 4Q 2024</t>
  </si>
  <si>
    <t>Smluvní realizátoři vybudují  1940 neveřejných dobíjecích bodů</t>
  </si>
  <si>
    <t>1.4 Budování dobíjecích stanic pro obytné budovy - neveřejná infrastruktura</t>
  </si>
  <si>
    <t>MMR schválilo program na budování dobíjecích stanic pro obytné budovy</t>
  </si>
  <si>
    <t>1.4 Budování dobíjecích stanic pro obytné budovy</t>
  </si>
  <si>
    <t>MMR připravilo výzvu na budování dobíjecích stanic pro obytné budovy</t>
  </si>
  <si>
    <t>MMR zveřejnilo výzvu na budování dobíjecích stanic pro obytné budovy</t>
  </si>
  <si>
    <t>MMR přijalo žádosti a vybralo projekty na budování dobíjecích stanic pro obytné budovy</t>
  </si>
  <si>
    <t>Milestone 5. Zasmluvnění 2880 neveřejných dobíjecích bodů</t>
  </si>
  <si>
    <t>MMR zasmluvnilo projekty na budování dobíjecích stanic pro obytné budovy</t>
  </si>
  <si>
    <t xml:space="preserve">navýšit počet dobíjecích bodů o 2880 </t>
  </si>
  <si>
    <t>1750 - 4Q 2024</t>
  </si>
  <si>
    <t>Smluvní realizátoři vybudují  2880 dobíjecích bodů</t>
  </si>
  <si>
    <t>1.5 Budování dobíjecí infrastruktury územními samosprávními celky (kromě Prahy) a jinými zřízenými organizacemi</t>
  </si>
  <si>
    <t>MMR připravilo program na budování dobíjecí infrastruktury územními samosprávními celky (kromě Prahy) a jinými zřízenými organizacemi</t>
  </si>
  <si>
    <t>MMR připravilo výzvu na budování dobíjecí infrastruktury územními samosprávními celky (kromě Prahy) a jinými zřízenými organizacemi</t>
  </si>
  <si>
    <t>MMR zveřejnilo výzvu na budování dobíjecí infrastruktury územními samosprávními celky (kromě Prahy) a jinými zřízenými organizacemi</t>
  </si>
  <si>
    <t>MMR přijalo žádosti a vybralo projekty na budování dobíjecí infrastruktury územními samosprávními celky (kromě Prahy) a jinými zřízenými organizacemi</t>
  </si>
  <si>
    <t>Milestone 5. Zasmluvnění 835 dobíjecích bodů</t>
  </si>
  <si>
    <t>MMR zasmluvnilo projekty na budování dobíjecí infrastruktury územními samosprávními celky (kromě Prahy) a jinými zřízenými organizacemi</t>
  </si>
  <si>
    <t>1.5 Budování dobíjecích stanic pro municipality a jimi zřízené instituce</t>
  </si>
  <si>
    <t>navýšit počet dobíjecích stanic pro municipality a jimi zřízené instituce o 835 (rychlé 55, pomalé 780)</t>
  </si>
  <si>
    <t>555 (55 rychlé, 500 pomalé) - 4Q 2024</t>
  </si>
  <si>
    <t>Smluvní realizátoři vybudují  835 dobíjecích bodů</t>
  </si>
  <si>
    <t>2.1 Vozidla (el, H2) pro podnikatelské subjekty včetně E-cargokol **</t>
  </si>
  <si>
    <t xml:space="preserve">MPO schválilo program na nákup vozidla (el, H2) pro podnikatelské subjekty včetně E-cargokol </t>
  </si>
  <si>
    <t>MD/registr vozidel a správce programu</t>
  </si>
  <si>
    <t xml:space="preserve">MPO připravilo výzvu na nákup vozidel (el, H2) pro podnikatelské subjekty včetně E-cargokol </t>
  </si>
  <si>
    <t xml:space="preserve">MPO zveřejnilo výzvu na nákup vozidel (el, H2) pro podnikatelské subjekty včetně E-cargokol </t>
  </si>
  <si>
    <t xml:space="preserve">MPO přijalo žádosti a vybralo projekty na nákup vozidel (el, H2) pro podnikatelské subjekty včetně E-cargokol </t>
  </si>
  <si>
    <t>Milestone 5. Zasmluvnění 3106 vozidel</t>
  </si>
  <si>
    <t xml:space="preserve">MPO zasmluvnilo projekty na nákup vozidel (el, H2) pro podnikatelské subjekty včetně E-cargokol </t>
  </si>
  <si>
    <t>Target 1: Počet vozidel</t>
  </si>
  <si>
    <t>nazvýšit počet vozidel (el, H2) pro podnikatelské subjekty o 3106 (2080 EV, 26 H2, 1000 E- cargol)</t>
  </si>
  <si>
    <t>2676 (1250 EV OA, 400 EV LUV, 26 H2, 1000 E-cargol)- 4Q 2024</t>
  </si>
  <si>
    <t>Smluvní realizátoři podpoří nákup 3106 vozidel na alternativní paliva pro podnikatele</t>
  </si>
  <si>
    <t>2.2 Vozidla (el, H2) pro obce, kraje, státní správu **</t>
  </si>
  <si>
    <t>MŽP schválilo program na nákup vozidel (el, H2) pro obce, kraje, státní správu</t>
  </si>
  <si>
    <t>MŽP připravilo výzvu na nákup vozidel (el, H2) pro obce, kraje, státní správu</t>
  </si>
  <si>
    <t>MŽP zveřejnilo výzvu na nákup vozidel (el, H2) pro obce, kraje, státní správu</t>
  </si>
  <si>
    <t>MŽP přijalo žádosti a vybralo projekty na nákup vozidel (el, H2) pro obce, kraje, státní správu</t>
  </si>
  <si>
    <t>Milestone 5. Zasmluvnění 2112 vozidel</t>
  </si>
  <si>
    <t>MŽP zasmluvnilo projekty na nákup vozidel (el, H2) pro obce, kraje, státní správu</t>
  </si>
  <si>
    <t>navýšit počet vozidel (el, H2) pro obce, kraje, státní správu o 2112 (1520 EV OA, 582 EV LUV, 10 H2 UA)</t>
  </si>
  <si>
    <t>1610 (1200 EV OA, 400 EV LUV, 10 H2) - 4Q 2024</t>
  </si>
  <si>
    <t>Smluvní realizátoři podpoří nákup 2112  vozidel na alternativní paliva pro obce, kraje a státní správu</t>
  </si>
  <si>
    <t>2.3 Vozidla (elektrobusy a hybridní autobusy  pro veřejnou hromadnou dopravu v Hlavním městě Praha **</t>
  </si>
  <si>
    <t>Hl. město Praha schválilo program na nákup vozidel (elektrobusy a hybridní autobusy)  pro veřejnou hromadnou dopravu</t>
  </si>
  <si>
    <t>Hl. město Praha připravilo výzvu na nákup vozidel (elektrobusy a hybridní autobusy)  pro veřejnou hromadnou dopravu</t>
  </si>
  <si>
    <t>Hl. město Praha zveřejnilo výzvu na nákup vozidel (elektrobusy a hybridní autobusy)  pro veřejnou hromadnou dopravu</t>
  </si>
  <si>
    <t>Hl. město Praha přijalo žádosti a vybralo projekty na nákup vozidel (elektrobusy a hybridní autobusy)  pro veřejnou hromadnou dopravu</t>
  </si>
  <si>
    <t>Milestone 5. Zasmluvnění 220 vozidel</t>
  </si>
  <si>
    <t>Hl. město Praha zasmluvnilo projekty na nákup vozidel (elektrobusy a hybridní autobusy)  pro veřejnou hromadnou dopravu</t>
  </si>
  <si>
    <t>navýšit počet vozidel (elektrobusy a hybridní autobusy) o 220</t>
  </si>
  <si>
    <t>180 (70 EV a 110 hybrid) - 4Q 2024</t>
  </si>
  <si>
    <t>MD a správce programu</t>
  </si>
  <si>
    <t>Smluvní realizátoři podpoří nákup 220 vozidel na alternativní paliva pro veřejnou dopravu v Praze</t>
  </si>
  <si>
    <t>Požadavek finančních zdrojů z RRF za realizované cíle</t>
  </si>
  <si>
    <t>Alokace (mil. Kč)</t>
  </si>
  <si>
    <t>2.5 Renovace budov a ochrana ovzduší</t>
  </si>
  <si>
    <t>1.1 Renovace a revitalizace budov pro energetickou úsporu, OZE a adaptace na změnu klimatu vč. hospodařeni s vodou</t>
  </si>
  <si>
    <t>Milestone 1. Schválení programu NZÚ</t>
  </si>
  <si>
    <t>nabytí platnosti programu</t>
  </si>
  <si>
    <t>stávající program NZÚ, platná legislativa,  zák. č. 218/2000 Sb o rozpočtových pravidlech, pravidla pro RRF</t>
  </si>
  <si>
    <t>MŽP společně se SFŽP na základě Dohody o delegování některých pravomocí</t>
  </si>
  <si>
    <t>Zpracování návrhu Dokumentace programu, projednání návrhu dokumentace s odbornou veřejností a spolugesčně odpovědnými resorty, předložení do MPŘ, předložení ke schválení vládě</t>
  </si>
  <si>
    <t>zpoždění či neschválení programu</t>
  </si>
  <si>
    <t>schválení/usnesení vlády</t>
  </si>
  <si>
    <t>1.1 Refundace projektů NZÚ od 02/2020 do 09/2021</t>
  </si>
  <si>
    <t>Milestone 2. Refundace nákladů NZÚ 02/2020 - 09/2021</t>
  </si>
  <si>
    <t>alokačně zazávazkované projekty</t>
  </si>
  <si>
    <t>počet renovací vč. výměny zdrojů</t>
  </si>
  <si>
    <t>stávající program NZÚ, pravidla RRF</t>
  </si>
  <si>
    <t>předložení  žádostí NZÚ způsobilých k refundaci nákladů z RRF</t>
  </si>
  <si>
    <t>nezpůsobilost některých výdajů z pohledu RRF a následná nižší míra refundace nákladů</t>
  </si>
  <si>
    <t xml:space="preserve">způsobilost refundace výdajů z RRF - reporty počtu žádostí a objemu požadavků na podporu, dosažené efekty </t>
  </si>
  <si>
    <t>Milestone 3. Zveřejnění výzvy</t>
  </si>
  <si>
    <t>Vyhlášená výzva, možnost začít přijímat žádosti</t>
  </si>
  <si>
    <t>Dokumentace programu NZÚ 2030, zák. č. 218/2000 Sb. O rozpočtových pravidlech</t>
  </si>
  <si>
    <t>Na základě scvhálené Dokumentace programu přípravva výzev včetně zpracování Závazných pokynů pro žadatele o podporu</t>
  </si>
  <si>
    <t>zpoždění, neschválení dokumentace programu</t>
  </si>
  <si>
    <t>medializace zveřejnění výzvy</t>
  </si>
  <si>
    <t>Milestone 4. Příjem žádostí</t>
  </si>
  <si>
    <t>spuštění realizace adminsitrace programu</t>
  </si>
  <si>
    <t>Příslušná výzva včetěně Závazných pokynů pro žadatele</t>
  </si>
  <si>
    <t>Na základě vyhlášené výzvy vyhodnocení přijatých žádostí - formální a věcné vyhodnocení splnění podmínek programu a způsobilosti k podpoře z RRF</t>
  </si>
  <si>
    <t>disproporce objemu žádostí k disponibilním prostředkům</t>
  </si>
  <si>
    <t>pravidelný report o počtu  a finančním požadavku administrovaných žádostí</t>
  </si>
  <si>
    <t>Milestone 5 Příjem žádostí a realizace programu</t>
  </si>
  <si>
    <t>realizované a proplacené projekty</t>
  </si>
  <si>
    <t>2 130mil. Kč</t>
  </si>
  <si>
    <t>Milestone 6 Příjem žádostí a realizace programu</t>
  </si>
  <si>
    <t>Q1 2023</t>
  </si>
  <si>
    <t>2 520 mil. Kč</t>
  </si>
  <si>
    <t>Milestone 7 Příjem žádostí a realizace programu</t>
  </si>
  <si>
    <t>Q1 2024</t>
  </si>
  <si>
    <t>1 790 mil. Kč</t>
  </si>
  <si>
    <t>Milestone 8 Příjem žádostí a realizace programu</t>
  </si>
  <si>
    <t>Q1 2025</t>
  </si>
  <si>
    <t>1780 mil. Kč</t>
  </si>
  <si>
    <t>Q1</t>
  </si>
  <si>
    <t>Milestone 9 Příjem žádostí a realizace programu</t>
  </si>
  <si>
    <t>Q2 2026</t>
  </si>
  <si>
    <t>Milestone 10 finanční vypořádání</t>
  </si>
  <si>
    <t>zrealizované a proplacené projekty celkem</t>
  </si>
  <si>
    <t>počet renovací vč. výměny zdrojů celkem</t>
  </si>
  <si>
    <t>10 000 mil. Kč</t>
  </si>
  <si>
    <t xml:space="preserve">KPI 1. Realizace projektů </t>
  </si>
  <si>
    <t>snížení spotřeby energie a úspory emisí  33 430 žádsotí za 6,984 mld Kč v RD, 2 275 žádostí za 2,986 mld. Kč</t>
  </si>
  <si>
    <t>Úspora GJ/rok nad rámec varianty bez intervence</t>
  </si>
  <si>
    <t>02/20 - Q2 2026</t>
  </si>
  <si>
    <t>vyhlášená výzva k podávání žádostí, reporty o průběhu realizace programu, a to na základě splnění podmínek programu</t>
  </si>
  <si>
    <t>vyhodnocení způsobilosti výdajů z RRF</t>
  </si>
  <si>
    <t>disporporce objemu žádostí k disponibilním prostředkům, nedostatečná alokace zdrojů</t>
  </si>
  <si>
    <t>doložení podkladů o realizaci a splnění podmínek programu pro poskytnutí podpory</t>
  </si>
  <si>
    <t>snížení emisí CO2</t>
  </si>
  <si>
    <t>kt/rok</t>
  </si>
  <si>
    <t>Q2/2026</t>
  </si>
  <si>
    <t>1.2 Výměna stacionárních zdrojů znečišťování</t>
  </si>
  <si>
    <t>Milestone 1. Schválení programu, vyhlášení výzev a spuštění podpory</t>
  </si>
  <si>
    <t>dokumentace programu NZÚ a vyhlášení výzva k podávání žádostí o podporu</t>
  </si>
  <si>
    <t>Milník je splněn v okamžiku schválení dokumetnace NZÚ, která bude toto opatření obsahovat. Splnění se doloží schváleným programovým dokumentem a odkazem na vyhlášení veřejné výzvy.</t>
  </si>
  <si>
    <t>Předpokladem a zároveň rizikem je plynulý adminsitravní proces schválení programu, který musí projít standardním procesem a ve finálním kroku schválen vládou.</t>
  </si>
  <si>
    <r>
      <t>KPI 2. Realizace vybraných projektů (</t>
    </r>
    <r>
      <rPr>
        <strike/>
        <sz val="12"/>
        <color rgb="FF000000"/>
        <rFont val="Times New Roman"/>
        <family val="1"/>
        <charset val="238"/>
      </rPr>
      <t>20</t>
    </r>
    <r>
      <rPr>
        <sz val="12"/>
        <color rgb="FF000000"/>
        <rFont val="Times New Roman"/>
        <family val="1"/>
      </rPr>
      <t xml:space="preserve"> 35 %)</t>
    </r>
  </si>
  <si>
    <t>počet vyměněných nevyhovujících spalovacích zdrojů</t>
  </si>
  <si>
    <t>Q3/2022</t>
  </si>
  <si>
    <t>vyhodnocení programu</t>
  </si>
  <si>
    <t>Započítá se každá dokončená výměna  zdroje vytápění včetně projektů výměny zdroje tepla a komplexní energetické renovace . Jeden projekt může zahrnout více výměn, pokud to konkrétní situace umožní. Hodnota se vykazuje po dokončení projektu v momentě, kdy je projekt finálně uzavřen.</t>
  </si>
  <si>
    <t>Splnění cíle je závislé na skutečném zájmu žadatelů o podporu. Přestože vycházíme z aktuálních zkušeností z poskytování obdobné podpory, nelze vyloučit negativní jev ekonomických podmínek v daném čase, který může zájem omezovat a ohrozit tak nanplnění stanoveného cíle.</t>
  </si>
  <si>
    <t>KPI.2 Závazky (zasmluvnění) 2021 - 2023;</t>
  </si>
  <si>
    <t xml:space="preserve">počet žádostí o výměnu nevyhovujících zdrojů </t>
  </si>
  <si>
    <t>Q4/2023</t>
  </si>
  <si>
    <t>příjem žádostí a realizace programu</t>
  </si>
  <si>
    <t>počet vyměněných zdrojů</t>
  </si>
  <si>
    <t>1 241 mil. Kč</t>
  </si>
  <si>
    <t>2 297  mil. Kč</t>
  </si>
  <si>
    <t>2 433 mil. Kč</t>
  </si>
  <si>
    <t>2 023  mil. Kč</t>
  </si>
  <si>
    <t>1 006 mil. Kč</t>
  </si>
  <si>
    <t>Milestone xx finanční vypořádání</t>
  </si>
  <si>
    <t>počet vyměněných zdrojů celkem</t>
  </si>
  <si>
    <t>9 000 mil. Kč</t>
  </si>
  <si>
    <t>1.2 Výměna stacionárních zdrojů znečišťování a úspora energie</t>
  </si>
  <si>
    <t>KPI 2. Realizace výměn zdrojů dle jednotlivých projektů</t>
  </si>
  <si>
    <r>
      <t>úspora energie z vyměněných nevyhovujících zdrojů</t>
    </r>
    <r>
      <rPr>
        <strike/>
        <sz val="11"/>
        <rFont val="Calibri"/>
        <family val="2"/>
        <charset val="238"/>
        <scheme val="minor"/>
      </rPr>
      <t xml:space="preserve">  počet vyměněných nevyhovujících spalovacích zdrojů a související úspora energie;</t>
    </r>
    <r>
      <rPr>
        <sz val="11"/>
        <rFont val="Calibri"/>
        <family val="2"/>
        <scheme val="minor"/>
      </rPr>
      <t xml:space="preserve"> </t>
    </r>
  </si>
  <si>
    <t>GJ/rok</t>
  </si>
  <si>
    <t>vyhodnocení programu, primárně se sledují počty vyměněných zdrojů, sekundárně se sledují typy zdrojů a efekty ve vztahu k energetickým úsporám a emisím znečišťujíícch látek, sekundární efekty se obtížněji predikují a nejsou proto hlavním cíle</t>
  </si>
  <si>
    <t>1.1 Renovace a revitalizace budov pro energetickou úsporu, OZE a adaptace na změnu klimatu vč. hospodařeni s vodou a 1.2 Výměna stacionárních zdrojů znečišťování a úspora energie</t>
  </si>
  <si>
    <t>Milestone 5. ukončení programu</t>
  </si>
  <si>
    <t>úspory energie;    snížení emisí CO2</t>
  </si>
  <si>
    <t>GJ/rok;        kt/rok</t>
  </si>
  <si>
    <t>8 400 000              1 350</t>
  </si>
  <si>
    <t>vyhodnocení programu, dosažených efektů v úsporách KSE a snížení emisí CO2 v rácmi poskytované podpory z RRF</t>
  </si>
  <si>
    <t xml:space="preserve">nedosažení předpokládaných efektů </t>
  </si>
  <si>
    <t>2.6 Ochrana přírody a adaptace na klimatickou změnu</t>
  </si>
  <si>
    <t>2.6.1 Protipovodňová ochrana</t>
  </si>
  <si>
    <t>2.6.1 Flood protection</t>
  </si>
  <si>
    <t>2 Počet projektů</t>
  </si>
  <si>
    <t>1 Number of protected inhabitants2021</t>
  </si>
  <si>
    <t>Počet realizovaných projektů</t>
  </si>
  <si>
    <t xml:space="preserve">Number of implemented projects
</t>
  </si>
  <si>
    <t>pcs</t>
  </si>
  <si>
    <t>IS Mze</t>
  </si>
  <si>
    <t>IS - The Ministry of Agriculture of the CR</t>
  </si>
  <si>
    <t>MZe/investoři</t>
  </si>
  <si>
    <t>MZe/investors</t>
  </si>
  <si>
    <t>Počet zahájených projektů</t>
  </si>
  <si>
    <t>The number of started projects</t>
  </si>
  <si>
    <t>Předpokladem je schválení programu NPO a navazujících realizačních programů,realizační příprava projektů, výběrové řízení/schvalovací proces a absorbční kapacita</t>
  </si>
  <si>
    <t>Výstupy z "Posuzovací komise pro poskytování finančních prostředků k financování protipovodňových opatření řízených Ministerstvem zemědělství v rámci programu 129 360 „Podpora prevence před povodněmi IV“</t>
  </si>
  <si>
    <t xml:space="preserve">3 Počet ochráněných obyvatel </t>
  </si>
  <si>
    <t xml:space="preserve">3 Number of protected inhabitants </t>
  </si>
  <si>
    <t>Transparentní zadávání,  posuzování vhodnoti technického řešení opatření, kontrola kvality provedených stavebních prací</t>
  </si>
  <si>
    <t>Transparent procurement assignment, assessment of the suitability of the technical solution of the measure, quality control of the performed construction works</t>
  </si>
  <si>
    <t>Počet obyvatel, kteří jsou ochráněni vybudovanými protipovodňovými opatřeními</t>
  </si>
  <si>
    <t>The number of inhabitants who are protected by built flood protection measures</t>
  </si>
  <si>
    <t>Roční reporty a výstupy z IS</t>
  </si>
  <si>
    <t>Annual reports and Outputs of IS.</t>
  </si>
  <si>
    <t>2.6.2 Podpora opatření
na drobných
vodních tocích a
malých vodních
nádržích</t>
  </si>
  <si>
    <t>2.6.2 Support of measures small water courses and small water reservoirs</t>
  </si>
  <si>
    <t>2 Number of projects</t>
  </si>
  <si>
    <t>Q1 2021 - Q4 2022</t>
  </si>
  <si>
    <t>Mze</t>
  </si>
  <si>
    <t xml:space="preserve">The Ministry of Agriculture of the CR </t>
  </si>
  <si>
    <t>3 Oprava bezpečnostních objektů</t>
  </si>
  <si>
    <t xml:space="preserve">3 Repair of security objects
</t>
  </si>
  <si>
    <t>Zvýšení bezpečnosti vodních děl prostřednictvím investic do bezpečnostních prvků (např. výpust, bezpečnostní přeliv, hráze atd.)</t>
  </si>
  <si>
    <t>Increasing the safety of water works through investments in safety features (eg drain, safety spillway, dams, etc.)</t>
  </si>
  <si>
    <t xml:space="preserve">Q1 2021 - Q4 2022 </t>
  </si>
  <si>
    <t>MZe</t>
  </si>
  <si>
    <t>4 Množství odtěženého sedimentu</t>
  </si>
  <si>
    <t>4 Amount of sediment extracted</t>
  </si>
  <si>
    <t xml:space="preserve">Zvýšení zásobního objemu vodních nádrží </t>
  </si>
  <si>
    <t>Increasing the storage volume of water reservoirs</t>
  </si>
  <si>
    <t>m3</t>
  </si>
  <si>
    <t>5 Výstavba rybníků</t>
  </si>
  <si>
    <t>5 Construction of ponds</t>
  </si>
  <si>
    <t>Vybudování zcela nového vodního díla</t>
  </si>
  <si>
    <t>Construction of a completely new water work</t>
  </si>
  <si>
    <t>2.6.3 Závlahy</t>
  </si>
  <si>
    <t>2.6.3 Irigation</t>
  </si>
  <si>
    <t>3 Zavlažovaná plocha</t>
  </si>
  <si>
    <t>3 Irrigated area</t>
  </si>
  <si>
    <t>Udržet závlahu na současné ploše, vybudovat závlahu na doposud nezavlažované ploše</t>
  </si>
  <si>
    <t>to maintain irrigation on the current area, to build irrigation on the hitherto non-irrigated area</t>
  </si>
  <si>
    <t>ha</t>
  </si>
  <si>
    <t xml:space="preserve">2.6.4 Provádění pozemkových úprav s pozitivním vlivem na prevenci eroze a zachycování srážek
</t>
  </si>
  <si>
    <t>2.6.4 Implementation of Land consolidation with a positive effect on the prevention of erosion and the capture of precipitation</t>
  </si>
  <si>
    <t>1. Realizace opatření zelené infrastruktury podporující biodiverzitu</t>
  </si>
  <si>
    <t>Q4 /2023 (t + 12 months)</t>
  </si>
  <si>
    <t>IS SPÚ</t>
  </si>
  <si>
    <t>IS -The State Land Office</t>
  </si>
  <si>
    <t>The State Land Office</t>
  </si>
  <si>
    <t>Tento cíl bude formou konkrétních projektů v krajině realizovat potřebnou zelenou infrastrukturu, podporující především biodiverzitu. Jednotlivé projekty budou v krajině realizovat prvky USES (biocentra, biokoridory a interakčních prvky) a další výsadby zeleně.</t>
  </si>
  <si>
    <t xml:space="preserve">This goal will formulate specific projects in the landscape, implement the necessary green infrastructure, support biodiversity in particular. Individual projects will be implemented in the region by USES elements (biocentres, biocorridors and interaction elements) and other green plantings. </t>
  </si>
  <si>
    <t xml:space="preserve">The prerequisite is the approval of the NPO program and subsequent implementation programs / approval process and absorption capacity </t>
  </si>
  <si>
    <t>2. Realizace opatření ochrany životního prostředí a adaptace na změnu klimatu</t>
  </si>
  <si>
    <t xml:space="preserve">Tento cíl bude formou konkrétních projektů v krajině realizovat potřebné opatření k ochraně životního prostředí a adaptace na změnu klimatu. Ochrana životního prostředí se bude zaměřovat předebším na ochranu kvality i kvantity půdy a vody. Jednotlivé projekty budou v krajině realizovat protierozní opatření (příkopy, průlehy, meze, travnaté pásy a jiné retardační prvky) pro eliminaci nepříznivých účinků povrchového odtoku vody. Adaptace na změnu klimatu se bude zaměřovat především na opatření zadržující vodu v krajině formou konkrétních projektů, jako jsou realizace mokřadů, tůní, reviltalizace vodních toků, a akumulačních vodních nádrží. Tento cíl podpoří infiltraci vody do podzemí, sníží znečišťování vod a odnos půdy. </t>
  </si>
  <si>
    <t xml:space="preserve">This goal will implement the necessary measures for protection of the environment and adaptation to climate change in the form of specific projects in the landscape. Environment protection will focus primarily on protecting the quality and quantity of soil and water. Individual projects will implement anti-erosion measures in the landscape (ditches, infiltration contour furrow, borders, grass strips and other retardation elements) to eliminate the adverse effects of surface runoff. Adaptation to climate change will focus mainly on water retention measures in the landscape in the form of specific projects, such as the implementation of wetlands, pools, reviltalization of watercourses, and storage reservoirs. This goal will support the infiltration of water into the underground, reduce water pollution and soil loss. </t>
  </si>
  <si>
    <t xml:space="preserve">2.6.5 Budování lesů odolných klimatické změně  </t>
  </si>
  <si>
    <t>2.6.5 Building forests resistant to climate change</t>
  </si>
  <si>
    <t>1 Příprava programu</t>
  </si>
  <si>
    <t>1 Program preparation</t>
  </si>
  <si>
    <t>Zvěřejnění zprávy</t>
  </si>
  <si>
    <t>Publication of the report</t>
  </si>
  <si>
    <t>2 Schválení programu</t>
  </si>
  <si>
    <t>2 Approval of the program</t>
  </si>
  <si>
    <t>Existence programu</t>
  </si>
  <si>
    <t>Existence of the program</t>
  </si>
  <si>
    <t>ano/ne</t>
  </si>
  <si>
    <t>yes/no</t>
  </si>
  <si>
    <t>ano</t>
  </si>
  <si>
    <t>yes</t>
  </si>
  <si>
    <t>3 Zveřejnění programu</t>
  </si>
  <si>
    <t>3 Publication of the program</t>
  </si>
  <si>
    <t>4 Příjem žádostí</t>
  </si>
  <si>
    <t>4 Receipt of applications</t>
  </si>
  <si>
    <t>Počet přijatých žádostí</t>
  </si>
  <si>
    <t xml:space="preserve">Number of applications received
</t>
  </si>
  <si>
    <t>průběžně všechny Q v letech 2021–2023</t>
  </si>
  <si>
    <t>5 Obnovení dalších 36000 ha ploch melioračními a zpevňujícími dřevinami (listnaté dřeviny a jedle bělokorá)</t>
  </si>
  <si>
    <t>5 Reforestation of another 36000 ha of areas by ameliorative and stabilizing tree species (broadleave species and silver fir/abies alba)</t>
  </si>
  <si>
    <t xml:space="preserve">Nárůst plochy ha ve vyjádření  listnatých dřevin a jedle v druhovém složení lesů  v rámci celkové porostní plochy ČR </t>
  </si>
  <si>
    <t xml:space="preserve">Increase in the area (in hectares) of ameliorative and stabilizing tree species in forests in ​​the Czech Republic 
</t>
  </si>
  <si>
    <t>Q2 2021 - Q4 2023</t>
  </si>
  <si>
    <t>Zpráva o stavu lesa a lesního hospodářství ČR v daném roce</t>
  </si>
  <si>
    <t>Součet plochy roční obnovy listnatých dřevin a jedle bělokoré odpovídá min. 12 000 ha</t>
  </si>
  <si>
    <t xml:space="preserve">
The sum of the area of ​​annual regeneration of broadleave species and silver fir (abies alba) corresponds to min. 12,000 ha
The sum of the area of ​​annual renewal of deciduous trees and white fir corresponds to min. 12,000 ha
</t>
  </si>
  <si>
    <t xml:space="preserve">Report on the state of forests and Forest management in the Czech Republic in a given year
</t>
  </si>
  <si>
    <t>2.6.6 Zadržování vody v lese</t>
  </si>
  <si>
    <t>2.6.6 Water retention in forests</t>
  </si>
  <si>
    <t>20 žádostí/rok</t>
  </si>
  <si>
    <t>20 applications/year</t>
  </si>
  <si>
    <t>průběžně všechny Q2 a Q4 v letech 2021-2023</t>
  </si>
  <si>
    <t>5 Realizace 60 projektů hrazení bystřin v lesích a projektů zadržování vody v lesích (retenční a malé vodní nádrže)</t>
  </si>
  <si>
    <t>5 Implementation of 60 projects of torrent control (small scale wooden and natural stone dams) to slow down surface runoff and water retention projects in forests (retention and small reservoirs)</t>
  </si>
  <si>
    <t>Number of implemented projects</t>
  </si>
  <si>
    <t>ISND (Informační systém národních dotací)</t>
  </si>
  <si>
    <t>ISNS (Information system of national subsidies)</t>
  </si>
  <si>
    <t>Počet realizovaných projektů za rok odpovídá min. 20</t>
  </si>
  <si>
    <t>The number of implemented projects per year corresponds to min. 20</t>
  </si>
  <si>
    <t>ISND (National Subsidy Information System)</t>
  </si>
  <si>
    <t>2.7 Cirkulární ekonomika a recyklace a průmyslová voda</t>
  </si>
  <si>
    <t>1. Implementace nové legislativy odpadového hospodářství ČR</t>
  </si>
  <si>
    <t>Milestone 1. Přijetí nové legislativy odpadového hospodářství ČR</t>
  </si>
  <si>
    <t>Nová legislativa odpadového hospodářství ČR je v účinnosti od 1.1.2021 a je uveřejněna ve Sbírce zákonů ČR. V souladu s evropskou legislativou stanovuje závazné cíle pro recyklaci komunálních odpadů, omezení skládkování odpadů a další opatření ke zlepšení situace.</t>
  </si>
  <si>
    <t>Q1 2021        (v účinnosti od 1.1.2021)</t>
  </si>
  <si>
    <t>Nová legislativa odpadového hospodářství ČR je uveřejněna ve Sbírce zákonů ČR</t>
  </si>
  <si>
    <t>MŽP</t>
  </si>
  <si>
    <t>Účinnost nové legislativy odpadového hospodářství ČR</t>
  </si>
  <si>
    <t>Nová legislativa odpadového hospodářství ČR je v účinnosti od 1.1.2021</t>
  </si>
  <si>
    <t>Uveřejněná nová legislativa  v e Sbírce zákonů ČR</t>
  </si>
  <si>
    <t>Milestone 2. Přijetí prováděcích předpisů k nové legislativy odpadového hospodářství ČR a aktualizace POH ČR</t>
  </si>
  <si>
    <t>Dokončení a přijetí prováděcích předpisů k nové legislativě odpadového hospodářství ČR:  Vyhláška o katalogu odpadů č. 8/2021 Sb; Vyhláška o nakládání s obaly č. 30/2021 Sb.; Vyhláška o  podmínkách splnění pro “asfaltové směsi”; Vyhláška o podrobnostech nakládání s vozidly s ukončenou životností; Vyhláška o nakládání s výrobky s ukončenou životností (pneumatiky, elektro, baterie); Aktualizace POH ČR</t>
  </si>
  <si>
    <t>Uveřejnění prováděcích předpisů k nové legislativě ve Sbírce zákonů ČR. Aktualizace POH ČR - Databáze strategických dokumentů ČR</t>
  </si>
  <si>
    <t xml:space="preserve">Dokončení a přijetí prováděcích předpisů k nové odpadové legislativě ČR a aktualizovaného POH ČR v parlamentu. </t>
  </si>
  <si>
    <t>Předpoklad dokončení celého implementačního procesu je Q3 2023</t>
  </si>
  <si>
    <t>Sbírka zákonů ČR, Databáze strategických dokumemtů ČR</t>
  </si>
  <si>
    <t>1.1 Odpady - infrastruktura    a) Recyklační infrastruktura    b) Energetická infrastruktura pro nakládání s vybranými druhy odpadů (nebezpečné, infekční odpady, bioplyn z bioodpadů)</t>
  </si>
  <si>
    <t xml:space="preserve">Target 1: Budování odpadové - recyklační infrastruktury </t>
  </si>
  <si>
    <t>Target 2: Budování odpadové - Energetické infrastruktury pro nakládání s vybranými druhy odpadů (nebezpečné, infekční odpady, bioplyn z bioodpadů)</t>
  </si>
  <si>
    <t>1.1 Odpady - infrastruktura:            a) Recyklační infrastruktura          b) Energetická infrastruktura pro nakládání s vybranými druhy odpadů (nebezpečné, infekční odpady, bioplyn z bioodpadů)</t>
  </si>
  <si>
    <t>Milestone 1. příjem žádostí  a výběr projektů</t>
  </si>
  <si>
    <t>Otevření první výzvy a předkládání projektů</t>
  </si>
  <si>
    <t>MoE/SFŽP</t>
  </si>
  <si>
    <t>Příjem žádostí a hodnocení projektů.</t>
  </si>
  <si>
    <t>Neotevření výzvy</t>
  </si>
  <si>
    <t>kontrolní mechanismy MŽP/SFŽP v rámci administrace dotací</t>
  </si>
  <si>
    <t>Waste - infrastructure</t>
  </si>
  <si>
    <t>receipt of applications and selection of projects</t>
  </si>
  <si>
    <t>Otevření druhé výzvy a předkládání projektů</t>
  </si>
  <si>
    <t>1.1 Odpady - infrastruktura:          a) Recyklační infrastruktura          b) Energetická infrastruktura pro nakládání s vybranými druhy odpadů (nebezpečné, infekční odpady, bioplyn z bioodpadů)</t>
  </si>
  <si>
    <t>Milestone 2. realizace projektů:                        a) Recyklační infrastruktura                                 b) Energetická infrustruktra pro nakládání s vybranými druhy odpadů</t>
  </si>
  <si>
    <t>projects realization</t>
  </si>
  <si>
    <t>Schválená a realizovaná řešení</t>
  </si>
  <si>
    <t>MŽP/SFŽP</t>
  </si>
  <si>
    <t>Realizace vybraných projektů z programu 1.1 Odpady infrastruktura</t>
  </si>
  <si>
    <t>Odstoupení žadatele od realizace, nedokončení projektů odpadové infrastruktury</t>
  </si>
  <si>
    <t>1.1 Odpady - infrastruktura:             a) Recyklační infrastruktura          b) Energetická infrastruktura pro nakládání s vybranými druhy odpadů (nebezpečné, infekční odpady, bioplyn z bioodpadů)</t>
  </si>
  <si>
    <t>Milestone 3. ukončení programu 1.1 Odpady -infrastruktura a jeho vyhodnocení</t>
  </si>
  <si>
    <t>End of programme</t>
  </si>
  <si>
    <t>Dokončení celého programu 1.1 Odpady - infrastruktura, podporou rozvoje Recyklační a Energetické infrastruktury</t>
  </si>
  <si>
    <t>Dokončení projektů podpořených z programu 1.1 Odpady - infrastruktura</t>
  </si>
  <si>
    <t>Nedokončení programu</t>
  </si>
  <si>
    <t>Závěrečná zpráva o realizaci programu</t>
  </si>
  <si>
    <t xml:space="preserve"> 1.1 Odpady - infrastruktura          a) Recyklační infrastruktura</t>
  </si>
  <si>
    <t>Building of waste-to-energy infrastructure</t>
  </si>
  <si>
    <r>
      <t>Dokončení celého programu podpory recyklační infrastruktury (100</t>
    </r>
    <r>
      <rPr>
        <sz val="11"/>
        <color rgb="FF000000"/>
        <rFont val="Calibri"/>
        <family val="2"/>
        <charset val="238"/>
        <scheme val="minor"/>
      </rPr>
      <t xml:space="preserve"> % alokace, 100 % kapacity)</t>
    </r>
  </si>
  <si>
    <t>Počet realizovaných inv. projektů/ vybudovaná nová kapacita</t>
  </si>
  <si>
    <t>Number of projects/New capacity</t>
  </si>
  <si>
    <t>Dlouhodobě nevyhovující nízká míra recyklace komunálních odpadů v ČR. K dosažení závazných evropských cílů pro recyklaci komunálních odpadů je nezbytná podpora navýšení recyklačních kapacit</t>
  </si>
  <si>
    <t>Realizace cca. 300 projektů a vybudovaná nová kapacita cca. 250 tis. tun, až do výše alokované částky</t>
  </si>
  <si>
    <t>1 projekt / 100 ths. Tons</t>
  </si>
  <si>
    <t>MOE</t>
  </si>
  <si>
    <t xml:space="preserve">Navýšit kapacitu recyklační infrastruktury ČR, inovace odpadového a recyklačního sektoru. Podpora přechodu na principy cirkulární ekonomiky a budování recyklační společnosti </t>
  </si>
  <si>
    <t>Předpokladem splnění cíle investice je dostatečná aktivita oprávněných příjemců podpory při předkládání a realizaci projektů. Rizikem je pak odstoupení od realizace projektů nebo nedodržení časového harmonogramu ze strany příjemce podpory</t>
  </si>
  <si>
    <t xml:space="preserve"> 1.1 Odpady - infrastruktura         b) Energetická infrastruktura pro nakládání s vybranými druhy odpadů (nebezpečné, infekční odpady, bioplyn z bioodpadů)</t>
  </si>
  <si>
    <t>Target 2: Budování odpadové - Energetická infrastruktura pro nakládání s vybranými druhy odpadů (nebezpečné, infekční odpady, bioplyn z bioodpadů)</t>
  </si>
  <si>
    <r>
      <t>Dokončení celého programu podpory odpadové energetické infrastruktury (100</t>
    </r>
    <r>
      <rPr>
        <sz val="11"/>
        <color rgb="FF000000"/>
        <rFont val="Calibri"/>
        <family val="2"/>
        <charset val="238"/>
        <scheme val="minor"/>
      </rPr>
      <t xml:space="preserve"> % alokace, 100 % kapacity)</t>
    </r>
  </si>
  <si>
    <t>Rostoucí produkce nerecyklovatelných nebezpečných a zdravotnických odpadů. Vysoká míra skládkování odpadů. Nezbytnost investic do navyšování kapacit odpadovídajících zařízení a docílit snížení skládkování</t>
  </si>
  <si>
    <t>Realizace cca. 10ti projektů a vybudovaná nová kapacita cca. 3 tis. tun, až do výše alokované částky</t>
  </si>
  <si>
    <t>1 projects/100 thous. Tons</t>
  </si>
  <si>
    <t>Navýšit kapacitu energetického využití nerecyklovatelných, nebezpečných a zdravotnických odpadů, podpořit hierarchii nakládání s odpady, odklonem od skládkování odpadů, které z různých důvodů nemohou být použity v recyklačním průmyslu.</t>
  </si>
  <si>
    <t>2.1 Cirkulární řešení v podnicích</t>
  </si>
  <si>
    <t>Otevření výzvy</t>
  </si>
  <si>
    <t>kontrolní mechanismy MPO v rámci administrace dotací</t>
  </si>
  <si>
    <t xml:space="preserve">Milestone 2. realizace cirkulárních řešení </t>
  </si>
  <si>
    <t>2022 - 2025</t>
  </si>
  <si>
    <t>Realizace vybraných cirkulárních řešení</t>
  </si>
  <si>
    <t>Odstoupení žadatele od realizace, nedokončení cirkulár. řešení</t>
  </si>
  <si>
    <t>Milestone 3. ukončení programu Cirkulární řešení v podnicích a jeho vyhodnocení</t>
  </si>
  <si>
    <t>Dokončení celého programu Cirkulární řešení v podnicích; posílení zavádění principů cirkulární ekonomiky v podnikání</t>
  </si>
  <si>
    <t>Dokončení cirkulárních řešení</t>
  </si>
  <si>
    <t>Target 1: Realizace cirkulárních řešení v podnikání</t>
  </si>
  <si>
    <t>Počet realizovaných individuálních řešení</t>
  </si>
  <si>
    <t>Nízké množství cirkulárních řešení v podnikové sféře zaměřených na předcházení vzniku odpadů ve výrobních procesech a v hodnotovém řetězci včetně fáze designu</t>
  </si>
  <si>
    <t>Realizace alespoň 10 řešení/investic až do výše alokované částky</t>
  </si>
  <si>
    <t>2021 - 2025</t>
  </si>
  <si>
    <t xml:space="preserve">Nerealizování projektů </t>
  </si>
  <si>
    <t>2.2 Úspora vody v průmyslu</t>
  </si>
  <si>
    <t>Target 1: Realizace opatření na úsporu a optimalizaci využívání vody v průmyslu</t>
  </si>
  <si>
    <t>Příjem žádostí a hodnocení projektů</t>
  </si>
  <si>
    <t>Milestone 2. realizace vybraných projektů</t>
  </si>
  <si>
    <t>Schválené a realizované projekty</t>
  </si>
  <si>
    <t>Dokončení schválených projektů za dané období</t>
  </si>
  <si>
    <t>Odstoupení žadatele od realizace, nedokončení projektů</t>
  </si>
  <si>
    <t>Milestone 3. ukončení programu podpory úspory vody v průmyslu</t>
  </si>
  <si>
    <t>Dokončení programu podpory (100 % alokace)</t>
  </si>
  <si>
    <t xml:space="preserve">Dokončení schválených projektů za dané období a vyhodnocení </t>
  </si>
  <si>
    <t>Odstoupení žadatele od realizace, nedokončení projektů, nevyčerpání alokace</t>
  </si>
  <si>
    <t>Počet realizovaných inv. projektů</t>
  </si>
  <si>
    <t>V rámci výzkumného projektu na téma „Hospodárnější užívání vod v průmyslu a energetice ČR“ byla připravena certifikovaná Metodika hodnocení využívání vody na úrovni podniků (tzv. „vodní audit“) a Katalog technologií souvisejících s úsporami vody.</t>
  </si>
  <si>
    <t>Realizace alespoň 10 projektů/investic až do výše alokované částky</t>
  </si>
  <si>
    <t>Cílem  investice je podpora realizace opatření v průmyslu v oblasti úspory vody, využívání vyšší míry cirkulace vody, zachycování a akumulace dešťové vody směrem k vyššímu uplatňování principů cikulární ekonomiky. Zároveň je investice směrována na podporu realizace opatření v průmyslu zaměřených na adaptaci na změnu klimatu.</t>
  </si>
  <si>
    <t>Předpokladem splnění cíle investice je dotatečná aktivita podnikatelských subjektů při předkládání a realizaci projektů. Rizikem je pak odstoupení od realizace projektů nebo nedodržení časového harmonogramu ze strany příjemce podpory.</t>
  </si>
  <si>
    <t>2.8 Regenerace brownfieldů</t>
  </si>
  <si>
    <t>Milník: 1.1 Vyhlášení výzev pro  regeneraci specifických brownfieldů</t>
  </si>
  <si>
    <t>Milestone: 1.1 Preparation of a subsidy program for specific  brownfields</t>
  </si>
  <si>
    <t>vyhlášení výzvy</t>
  </si>
  <si>
    <t xml:space="preserve">announcement of the call </t>
  </si>
  <si>
    <t>n/a</t>
  </si>
  <si>
    <t xml:space="preserve"> Q2 2022</t>
  </si>
  <si>
    <t>formální schválení programu MF</t>
  </si>
  <si>
    <t xml:space="preserve">formal approval of the program by Ministry of Finance </t>
  </si>
  <si>
    <t>MMR/SFPI</t>
  </si>
  <si>
    <t>Ministry for Regional Development (MoRD)/SFPI</t>
  </si>
  <si>
    <t xml:space="preserve">Předpokladem pro vyhlášení podpory je příprava dotačního programu/podpory, který bude formálně schválen Ministerstvem financí. 
</t>
  </si>
  <si>
    <t>A prerequisite for the announcement of support is the preparation of a subsidy program / support, which has to be formally approved by the Ministry of Finance.</t>
  </si>
  <si>
    <t xml:space="preserve">
Nedostatečné investiční prostředky na straně obcí, složité administrativní procesy k získání stavebních povolení, vysoké náklady na průzkum lokality a případnou sanaci, chybějící zkušenosti s multifunkčními objekty. 
</t>
  </si>
  <si>
    <t>Insufficient investment funds on the part of municipalities, time-demanding processes to obtain building permits, high costs of site research and remediation, lack of experience experience with multifunctional buildings.</t>
  </si>
  <si>
    <t>vyhláška č. 560/2006 Sb., o účasti státního rozpočtu na financování programů reprodukce majetku</t>
  </si>
  <si>
    <t>Regulation (No. 560/2006) on the participation of the state budget in the financing of subsidy programs</t>
  </si>
  <si>
    <t>Cíl: 1.2: 30 příjemců podpory pro etapy regenerace specifických brownfieldů</t>
  </si>
  <si>
    <t>pc.</t>
  </si>
  <si>
    <t xml:space="preserve"> Q4 2025</t>
  </si>
  <si>
    <t>interní systém MMR</t>
  </si>
  <si>
    <t>internal system of MoRD</t>
  </si>
  <si>
    <t xml:space="preserve">Každoročně budou vyhlášeny výzva pro podání žádostí na projekty regenerace specifických brownfieldů na různé etapy projektů (projektová příprava, příprava pozemků, investční akce). Po vyhodnocení výzvy bude existovat seznam doporučených projektů pro podporu. 
Čerpání bude nastano na základě zasmluvněných projektů ve dvou fázích
Rok 2022 - zasmluvněno 10 projektů. 
Rok 2023 - zasmluvněno 20 projektů. 
Realizace projektů bude ukončena Q4 2025. 
</t>
  </si>
  <si>
    <t xml:space="preserve">
Nedostatečné investiční prostředky na straně obcí, složité administrativní procesy k získání stavebních povolení, vysoké náklady na průzkum lokality a případnou sanaci, chybějící zkušenosti s multifunkčními objekty. 
</t>
  </si>
  <si>
    <t xml:space="preserve">Insufficient investment funds on the part of municipalities, time-demanding processes to obtain building permits, high costs of site research and remediation, lack of experience experience with multifunctional buildings
</t>
  </si>
  <si>
    <t>kontrolní mechanismy MMR  a SFPI v rámci administrace dotací;
oponentura vznikající studie</t>
  </si>
  <si>
    <t>control mechanisms of the MoRD and SFPI within the subsidy administration process; external examination of the study</t>
  </si>
  <si>
    <t xml:space="preserve">Milník: 3.1 Vyhlášení výzev na investiční podporu regenerace brownfieldů ve vlastnictví obcí a krajů </t>
  </si>
  <si>
    <t>Milestone: 1.1 Announcment of calls for regeneretaion of publicly owned brownfields</t>
  </si>
  <si>
    <t>interní systém MMR, MPO</t>
  </si>
  <si>
    <t>internal system of MoRD, MIT</t>
  </si>
  <si>
    <t>MMR/SFPI, MPO</t>
  </si>
  <si>
    <t>Ministry for Regional Development/SFPI, MIT</t>
  </si>
  <si>
    <t xml:space="preserve">Předpokladem pro vyhlášení podpory je příprava dotačního programu/podpory, který bude formálně schválen Ministerstvem financí. </t>
  </si>
  <si>
    <t>Cíl: 2.1: 140 příjemců podpory pro projekty regenerace brownfieldu ve vlastnictví obcí a krajů</t>
  </si>
  <si>
    <t>internal system of MoRD and MIT</t>
  </si>
  <si>
    <t>MMR/SFPI/MPO</t>
  </si>
  <si>
    <t>Ministry for Regional Development/SFPI/MIT</t>
  </si>
  <si>
    <t>Každoročně bude vyhlášena výzva pro podání žádostí na projekty regenerace brownfieldů ve vlastnictví obcí a krajů. 
Čerpání bude nastano na základě zasmluvněných projektů ve dvou fázích
Rok 2022 - zasmluvněno 65 projektů. 
Rok 2023 - zasmluvněno 75 projektů. 
Realizace projektů bude ukončena Q4 2025.</t>
  </si>
  <si>
    <t xml:space="preserve">
Nedostatečné investiční prostředky na straně obcí, složité administrativní procesy k získání stavebních povolení. 
</t>
  </si>
  <si>
    <t>Insufficient investment funds on the part of municipalities, time-demanding processes to obtain building permits.</t>
  </si>
  <si>
    <t>kontrolní mechanismy MMR/SFPI a MPO v rámci administrace dotací</t>
  </si>
  <si>
    <t>control mechanisms of the MoRD/SFPI  and MIT within the subsidy administration process</t>
  </si>
  <si>
    <t>3.1 Inovace ve vzdělávání v kontextu digitalizace</t>
  </si>
  <si>
    <t>1.1. REFORMA KURIKULA A JEJÍ IMPLEMENTACE</t>
  </si>
  <si>
    <t>1.1 Reforma kurikula a její implementace</t>
  </si>
  <si>
    <t>1.1. Curricula reform and its implementation</t>
  </si>
  <si>
    <t xml:space="preserve">Milník 1: Schválení nového kurikula pro základní vzdělávání představující nový koncept informatického myšlení a digitální klíčovou kompetenci. </t>
  </si>
  <si>
    <t xml:space="preserve">Je schváleno nové kurikulum pro základní vzdělávání představující nový koncept informatického myšlení a digitální klíčovou kompetenci. </t>
  </si>
  <si>
    <t>MŠMT</t>
  </si>
  <si>
    <t>Ministry of Education, Youth and Sports</t>
  </si>
  <si>
    <t xml:space="preserve">Ministerstvo školství, mládeže a tělovýchovy vydalo revidovaný Rámcový vzdělávací program pro základní vzdělávání. Cílem revize bylo modernizovat obsah vzdělávání tak, aby odpovídalo dynamice a potřebám 21. století. Nový RVP ZV zavádí vzdělávací oblast Informatika a rozvoj digitální gramotnosti žáků zařazuje na úroveň klíčové kompetence. Nové kurikulum pro základní vzdělávání je platné od 1.9.2021, takže školy s novým konceptem mohou učit od tohoto data. Nejzazší termín pro implementaci nového kurikula na úrovni školy je 1. 9. 2023 pro 1. stupeň a 1. 9. 2024 pro 2. stupeň základních škol. </t>
  </si>
  <si>
    <t>The Ministry of Education, Youth and Sports has issued a revised Framework Educational Program for Basic Education. The aim of the revision was to modernize the content of education to meet the dynamics and needs of the 21st century. The new FEP introduces the educational area of Informatics and places the development of digital literacy on the level of key competences.</t>
  </si>
  <si>
    <t>Riziko: neochota škol a učitelů přijmout koncept nové informatiky a digitální kompetence</t>
  </si>
  <si>
    <t>reluctance of teachers to accept the concept of new informatics and digital competence</t>
  </si>
  <si>
    <t>Metodická podpora škol, zlepšování kompetencí učitelů</t>
  </si>
  <si>
    <t>Methodical support of schools, improvement of teachers' competencies</t>
  </si>
  <si>
    <t>Milník 2: Systém podpory pro školy při implementaci nového konceptu informatického myšlení a digitální klíčové kompetence - I. fáze</t>
  </si>
  <si>
    <t xml:space="preserve">Je vytvořen funkční systém podpory škol při implementaci nového kurikula, tj. nového konceptu informatiky a nové digitální kompetence. Školy se hlásí o balíčky podpory, které jim budou poskytnuty ze strany Národního pedagogického institutu. </t>
  </si>
  <si>
    <t>Je vytvořen funkční systém podpory škol při implementaci nového kurikula, tj. nového konceptu informatiky a nové digitální kompetence. Školy se hlásí o balíčky podpory, které jim budou poskytnuty ze strany Národního pedagogického institutu. Jedná se o pilotní projekt pro prvních 300-500 základních škol, na základě kterého bude vytvořen systém školení pro všechny školy (tzn. další fáze proběhne v rámci reformy Implementace DigCompEdu).</t>
  </si>
  <si>
    <t>Riziko: neochota učitelů přijmout koncept nové informatiky a digitální kompetence</t>
  </si>
  <si>
    <t xml:space="preserve">Milník 3: Schválení nového kurikula pro gymnázia představující nový koncept informatického myšlení a digitální klíčovou kompetenci. </t>
  </si>
  <si>
    <t>Na základě pokusného ověřování, které probíhalo v minulých letech bude schváleno nové kurikulum pro gymnázia představující koncept nové informatiky a nové digitální kompetence.</t>
  </si>
  <si>
    <t xml:space="preserve">Jako krok navazující na aktualizaci RVP pro ZV bude přijat i nový RVP pro gymnázia, který zavede novou vzdělávací oblast Informatika a rozvoj digitální gramotnosti žáků zařadí na úroveň klíčové kompetence. </t>
  </si>
  <si>
    <t>1.2 IMPLEMENTACE DIGCOMPEDU</t>
  </si>
  <si>
    <t>1.2 Implementace rámce DigCompEdu</t>
  </si>
  <si>
    <t>1.2. DigCompEdu framework implementation</t>
  </si>
  <si>
    <t>Milník 4: Vytvoření elektronické knihovny digitálních vzdělávacích zdrojů</t>
  </si>
  <si>
    <t xml:space="preserve">Je vytvořena uživatelsky přivětivá elektronická knihovna digitálních vzdělávacích zdrojů 
</t>
  </si>
  <si>
    <t>A user-friendly electronic library of digital educational resources is created.</t>
  </si>
  <si>
    <t>4Q 2022</t>
  </si>
  <si>
    <t>Statistika návštev portálu</t>
  </si>
  <si>
    <t>Portal visits statistics</t>
  </si>
  <si>
    <t>Vytvoření elektronické knihovny digitálních vzdělávacích zdrojů pro ZŠ i SŠ na podporu inovace vzdělávacího obsahu. Využijí se produkty, které již byly vytvořeny (jako ema.rvp.cz a digiskola.rvp.cz)  a dojde k navázání na vzdělávací portál Edu.cz. Elektronická knihovna by měla být interaktivní a měla by fungovat i jako recenzní systém.</t>
  </si>
  <si>
    <t>Creation of an electronic library of digital educational resources for primary and secondary schools to support the innovation of educational content. Products that have already been created will be used and will be linked to the educational portal Edu.cz. The electronic library should be interactive and should also function as a review system.</t>
  </si>
  <si>
    <t xml:space="preserve">Riziko: nesprávné pochopení potřeb učitelů a žáků co se týče digitálních vzdělávacích zdrojů
</t>
  </si>
  <si>
    <t>Risks: misunderstanding of teachers and pupils needs in terms of digital educational resources</t>
  </si>
  <si>
    <t>Fokusní skupiny, Zpětná vazba od uživatelů</t>
  </si>
  <si>
    <t>Focus groups, User feedback</t>
  </si>
  <si>
    <t>Milník 5: Systém podpory pro školy při implementaci nového konceptu informatického myšlení a digitální klíčové kompetence - II. Fáze (dotační program)</t>
  </si>
  <si>
    <t>Na základě I. Fáze systému podpory pro školy při implementaci nového konceptu informatického myšlení a digitální klíčové kompetence je vytvořen a vyhlášen dotační program pro instituce na krajské úrovni.</t>
  </si>
  <si>
    <t>4Q 2021</t>
  </si>
  <si>
    <t>Dotační programy MŠMT</t>
  </si>
  <si>
    <t>Subsidy programmes of MEYS</t>
  </si>
  <si>
    <t>Do 4Q 2021 bude vytvořen dotační program a bude vyhlášena výzva pro instituce na krajské úrovni k předložení projektu zajišťující podporu a vzdělávání určitého počtu škol na území konkrétního kraje. Systém nastavený výzvou bude maximálně komplementární k činnosti NPI a navazuje na již vytvořený vzdělávací obsah. Podpora se bude týkat všech vzdělávacích oborů, včetně nového pojetí informatiky, kterou přinese proměna vzdělávacího obsahu. Cílem výzvy je implementace nového konceptu informatiky a nové digitální kompetence a implementace DigCompEdu, zejména 6. oblasti.</t>
  </si>
  <si>
    <t>Riziko: nesprávně nastavený dotační program</t>
  </si>
  <si>
    <t>Risk: incorrectly set subsidy program</t>
  </si>
  <si>
    <t xml:space="preserve">Diskuze se zřizovateli, školami a odborníky. </t>
  </si>
  <si>
    <t>Discussions with founders of schools, schools and experts.</t>
  </si>
  <si>
    <t xml:space="preserve">Cíl 1: Podpořit alespoň 4000 škol přímou podporou a vzděláváním pedagogů v oblasti informatického myšlení a digitální gramotnosti </t>
  </si>
  <si>
    <t xml:space="preserve">Na základě první fáze systému podpory pro školy při implementaci nového konceptu informatického myšlení a digitální klíčové kompetence budou prostřednictvím orgnizací na úrovni kraje podpořeno v letech 2022-2025 celkem 4000 škol. </t>
  </si>
  <si>
    <t>počet podpořených škol</t>
  </si>
  <si>
    <t>1Q 2026</t>
  </si>
  <si>
    <t>Výkaznictví MŠMT/šetření ČŠI</t>
  </si>
  <si>
    <t xml:space="preserve">Cílem je v letech 2022-2025 pomocí výzvy podpořit 4000 škol. Cíl 4000 škol bych zvolen kvůli nutnosti plošného dopadu, avšak při skutečnosti, že některé školy pomoc odmítnou nebo ji nebudou pořebovat. </t>
  </si>
  <si>
    <t>Riziko: nízká kvalita podpory, nezájem pedagogů</t>
  </si>
  <si>
    <t>Zpětná vazba škol</t>
  </si>
  <si>
    <t>Feedback from course participants</t>
  </si>
  <si>
    <t>1.3 FOND MOBILNÍCH DIGITÁLNÍCH ZAŘÍZENÍ PRO ZNEVÝHODNĚNÉ ŽÁKY A DIGITALIZACE ŠKOL</t>
  </si>
  <si>
    <t>1.3 Fond mobilních digitálních zařízení pro znevýhodněné žáky a digitalizace  škol</t>
  </si>
  <si>
    <t>3.1.3. Mobile digital devices fund for disadvantaged pupils and digitization of  schools</t>
  </si>
  <si>
    <t>Milník 6: Poskytnout mimořádné prostředky na ICT vybavení pro dálkovou výuku základních škol a nižších stupňů gymnázií.</t>
  </si>
  <si>
    <t xml:space="preserve">V říjnu 2020 byly základním školám a nižším stupňům gymnázií poskytnuty prostředky ve výši 1,3 mld Kč na ICT vybavení pro výuku na dálku.  </t>
  </si>
  <si>
    <t>4Q 2020</t>
  </si>
  <si>
    <t>Šetření MŠMT</t>
  </si>
  <si>
    <t xml:space="preserve">Na podzim 2020 byly základním školám a nižším stupňům gymnázií poskytnuty prostředky ve výši 1,3 mld Kč na ICT vybavení pro výuku na dálku. Prostředky byly školám poskytnuty pomocí tzv. ad hoc normativu - zcela nového institutu školského zákona, účinný od 1. 10. 2020 (podle § 161 odst. 7 školského zákona). Ad hoc normativ umožní navýšit rozpis rozpočtu na jednotlivé kraje a určít výši prostředků pro každou konkrétní základní školu zřizovanou krajem, obcí nebo svazkem obcí, a to bez dodatečné administrativy. </t>
  </si>
  <si>
    <t>Riziko: nedostatek metodické podpory pro školy, nakoupení nevhodné techniky</t>
  </si>
  <si>
    <t>Milník 7: Je vytvořen výpočet pro ad hoc normativ pro školy na vytvoření fondu mobilních digitálních zařízení a vybavení pro novou informatiku</t>
  </si>
  <si>
    <t>Je připraven výpočet pro ad hoc normativ tak, aby v dalším období mohly být školám poskytnuty prostředky na vytvoření a obnovu fondu mobilních digitálních zařízení.</t>
  </si>
  <si>
    <t xml:space="preserve">A calculation is prepared for "ad hoc normative" so that in the next period schools can be provided with funds to create a mobile digital devices fund. </t>
  </si>
  <si>
    <t>možný vzor - mimořádné prostředky poskytnuté školám na ICT vybavení z 10/2020</t>
  </si>
  <si>
    <t>possible model - extraordinary funds provided to schools for ICT equipment from 10/2020</t>
  </si>
  <si>
    <t xml:space="preserve">MŠMT připraví výpočet tzv. ad hoc normativu - zcela nového institutu školského zákona, účinný od 1. 10. 2020 (podle § 161 odst. 7 školského zákona). Ad hoc normativ umožní navýšit rnavýší rozpis rozpočtu na jednotlivé kraje a určít výši prostředků pro každou konkrétní základní školu zřizovanou krajem, obcí nebo svazkem obcí, a to bez dodatečné administrativy. Výpočet je však možné pojmout několika způsoby, proto je nutná detailní diskuze tak, aby byly prostředky co nejlépe využity školami. </t>
  </si>
  <si>
    <t>The Ministry of Education, Youth and Sports will prepare a calculation of the so-called ad hoc normative - a completely new institute of the Education Act, effective from 1 October 2020 (according to § 161 par. 7 of the Education Act). Ad hoc normative will make it possible to increase the  budget for regions and determine the amount of funds for each  primary school established by a region, municipality or association of municipalities, without additional administration. However, the calculation can be understood in several ways, so a detailed discussion is necessary so that the resources are used as best as possible.</t>
  </si>
  <si>
    <t>Riziko: Nesprávně určený výpočet;</t>
  </si>
  <si>
    <t>Risk: Incorrect calculation;</t>
  </si>
  <si>
    <t>Milník 8:  Je vytvořena a průběžně aktualizována metodická podpora pro školy, zřizovovatele a poskytovatele služeb ohledně nákupu digitálních zařízení</t>
  </si>
  <si>
    <t xml:space="preserve">Je vytvořena a průběžně aktualizována metodická podpora pro školy, zřizovatele a poskytovatele služeb v oblasti nákupu digitálních zařízení, a to nejen základních mobilních digitálních zařízení, ale i zařízení pro novou informatiku. 
</t>
  </si>
  <si>
    <t>4Q 2025</t>
  </si>
  <si>
    <t>Jiné metodické podpory MŠMT, nástroje SELFIE a další</t>
  </si>
  <si>
    <t xml:space="preserve">Bude vytvořena a průběžně aktualizována metodická podpora pro školy, zřizovatele a poskytovatele služeb v oblasti nákupu digitálních zařízení, a to nejen základních mobilních digitálních zařízení, ale i zařízení pro novou informatiku. Cílem je, aby byly prostředky na ICT vybavení vynaloženy co nejefektivněji a aby z nich měly školy co největší užitek. Nástroji pro podporu budou webové stránky, příklady dobré praxe, webináře, evaluační online nástroje apod. </t>
  </si>
  <si>
    <t>Riziko: Nedostatečné využívání metodické podpory</t>
  </si>
  <si>
    <t xml:space="preserve">Risks: Insufficient use of methodical support </t>
  </si>
  <si>
    <t>Participativní proces tvorby metodické podpory jak s odborníky, tak se zástupci škol, zřizovatelů a poskytovatelů služeb.</t>
  </si>
  <si>
    <t xml:space="preserve">Participatory process of creating methodical support with experts as well as with representatives of schools, founders and service providers. </t>
  </si>
  <si>
    <t xml:space="preserve">Cíl 2: Školy vytvořily fond mobilních digitálních zařízení pro znevýhodněné žáky s cílem, aby všichni žáci měli k dispozici mobilní digitální zařízení pro běžnou výuku a výuku na dálku </t>
  </si>
  <si>
    <t>Target 3: Schools have set up a mobile digital devices fund for disadvantaged pupils in order to ensure that all pupils have access to mobile digital devices for mainstream and distance learning.</t>
  </si>
  <si>
    <t xml:space="preserve">% podíl škol, které vytvořily fond mobilních digitálních zařízení pro znevýhodněné žáky. </t>
  </si>
  <si>
    <t>% share of schools that have created a fund of mobile digital devices for disadvantaged pupils.</t>
  </si>
  <si>
    <t>Výkaznictví MŠMT/šetření České školní inspekce</t>
  </si>
  <si>
    <t>Volume of funds, number of purchased equipment</t>
  </si>
  <si>
    <t>V 1Q 2022 budou školám poskytnuty finanční prostředky prostřednictvím nového institutu školského zákona - tzv. "ad hoc normativ" na vytvoření a obnovu fondu mobilních digitálních zařízení. 
Prostředky budou poskytnuty dvakrát – jednou v roce 2022 a podruhé v roce 2024  z důvodu obnovy zařízení.
Cílem je, aby 80 % škol vytvořilo fond mobilních digitálních zařízení pro znevýhodněné žáky.</t>
  </si>
  <si>
    <t>In 1Q 2022, schools will be provided with funding through a new institute of the Education Act - the so - called" ad hoc norms "" for the creation and renewal of a fund of mobile digital devices.
Funds will be provided twice - once in 2022 and a second time in 2024 due to equipment renewal.
The goal is for 80% of schools to set up a fund of mobile digital devices for disadvantaged pupils.</t>
  </si>
  <si>
    <t>Riziko: nevhodné zacílení/rozdělení prostředků; jejich využívání jen motivovanějšími školami; nekvalitní podpora fondu</t>
  </si>
  <si>
    <t>Risks: inappropriate targeting/allocation of resources; their use only by more motivated schools; poor quality support for the fund</t>
  </si>
  <si>
    <t>Šetření MŠMT/Česká školní inspekce</t>
  </si>
  <si>
    <t>Ministry of Education, Youth and Sports or Czech School Inspectorate surveys</t>
  </si>
  <si>
    <t>Cíl 3: Základní a střední školy mají pro žáky vybavení pro výuku nové informatiky</t>
  </si>
  <si>
    <t>Target 1: Primary and secondary schools have equipment for teaching new computer science.</t>
  </si>
  <si>
    <t>Počet podpořených škol</t>
  </si>
  <si>
    <t>Number of supported schools</t>
  </si>
  <si>
    <t xml:space="preserve">Cílem je motivace všech škol v implementaci konceptu nové informatiky a v práci s pokročilými digitálními zařízeními, jako např. VR, AR, 3D tisk, robotické pomůcky a další, a tím rozvíjet základní i pokročilé digitální dovednosti žáků. Školy z poskytnutých finančních prostředků pořídí vybavení pro výuku nové informatiky a rozvoj digitální gramotnosti. </t>
  </si>
  <si>
    <t>The aim is to motivate all schools in the implementation of the concept of new informatics and in work with advanced digital devices, such as VR, AR, 3D printing, robotic aids and others, and thus develop basic and advanced digital skills of students. From the provided funds, schools will acquire equipment for teaching new informatics and the development of digital literacy.</t>
  </si>
  <si>
    <t>Riziko: Nesprávná práce s  digitálními technologiemi, nákup nevhodných technologií</t>
  </si>
  <si>
    <t>Risks: incorrect work with advanced digital technologies</t>
  </si>
  <si>
    <t>Milník 9: Vytvoření sítě IT guru pro školy, implementace DigCompOrg</t>
  </si>
  <si>
    <t xml:space="preserve">Po vzoru vytvoření sítě krajských ICT metodiků bude vytvořena síť IT guru pro školy, kteří školy provedou procesem digitalizace. Na rozdíl od krajského ICT metodika se bude zaměřovat zejména na nastavení IT správy a vnitřní sítě školy. </t>
  </si>
  <si>
    <t xml:space="preserve">Po vzoru vytvoření sítě krajských ICT metodiků bude vytvořena síť IT guru pro školy, kteří školy provedou procesem digitalizace. Na rozdíl od krajského ICT metodika se bude zaměřovat zejména na nastavení IT správy a vnitřní sítě školy. IT guru rovněž pomůže škole s nákupem vybavení pro novou informatiku a dále pomůže s dialogem se zřizovatelem s cílem navýšit jeho investice do digitalizace škol. Pozice IT guru bude vytvořena na úrovni kraje a bude intenzivě spolupracovat s již vytvořenými pozicemi jako krajský ICT metodik (projekt SYPO) a územními koordinátory BCO (Broadband Competence Office, MPO) </t>
  </si>
  <si>
    <t>Riziko: Nedostatek kvalifikovaných lidských zdrojů.</t>
  </si>
  <si>
    <t xml:space="preserve">Risks: Lack of qualified human resources. </t>
  </si>
  <si>
    <t xml:space="preserve">Cíl 4: Metodicky podpořit alespoň 1120 škol ohledně nastavení jejich IT správy a vnitřní sítě. </t>
  </si>
  <si>
    <t>Projekt SYPO, činnost krajských ICT metodiků</t>
  </si>
  <si>
    <t xml:space="preserve">Cílem je pomocí sítě IT guru podpořit v letech 2022-2025 1120 škol. Pro zajištění kontinuální a intenzivní přímé podpory bude mít jeden krajský IT guru v porfoliu minimálně 20 škol ročně. Při trvání projektu 4 roky a 14 IT guru s úvazkem 40 hodin měsíčně je minimální celkový počet podpořených škol 1120. Jedná se o cca 1/5 škol, přičemž mířit se bude zejména na menší venkovské školy, které mají s IT správou největší problémy. </t>
  </si>
  <si>
    <t>3.2 Adaptace kapacity a zaměření školních programů</t>
  </si>
  <si>
    <t>2.1 Transformovat vysoké školy s cílem adaptace na nové formy učení a v odpovědi na měnící se potřeby trhu práce v post-covidové obnově</t>
  </si>
  <si>
    <t>Milník 1: Stanovení prioritních odvětví</t>
  </si>
  <si>
    <t>Stanovení rychle se rozvíjejících odvětví s vysokou přidanou hodnotou a odvětví s významnou společenskou relevancí a nedostatkem kvalifikovaných pracovníků, která budou předmětem prioritní podpory z programu</t>
  </si>
  <si>
    <t>Zdroj: dokument MŠMT stanovující prioritní odvětví</t>
  </si>
  <si>
    <t>Ministerstvo školství, mládeže a tělovýchovy</t>
  </si>
  <si>
    <t>MŠMT rozhodne o seznamu odvětví, ve kterých bude v rámci této reformy prioritně podpořen vznik nových studijních programů; prioritní odvětví budou stanovena na základě analýzy ekonomických dat, v konzultaci se sociálními partnery a ve vazbě na relevantní strategické dokumenty ČR</t>
  </si>
  <si>
    <t>Předpokladem pro dosažení milníku je spolupráce klíčových sociálních partnerů, zejména zaměstnavatelských svazů, relevantních resorů a nezávislých expertů</t>
  </si>
  <si>
    <t>dokument MŠMT stanovující prioritní odvětví</t>
  </si>
  <si>
    <t>Milník 2: Poskytnutí podpory v programových výzvách</t>
  </si>
  <si>
    <t>Realizace programových výzev a poskytnutí podpory vybraným vysokoškolským institucím</t>
  </si>
  <si>
    <t>Zdroj: zpráva MŠMT o realizaci programových výzev</t>
  </si>
  <si>
    <t>Zveřejnění výzev, zhodnocení došlých žádostí a vydání právních aktů o poskytnutí podpory kladně hodnoceným projektům</t>
  </si>
  <si>
    <t>Rizikem pro dosažení milníku by mohlo být, pokud by docházelo k dalším úpravám právního rámce pro využití prostředků Facility nebo jeho interpretace, které by si vynutily přehodnocení podoby výzev, popř. pokud by došlo ke zpoždění schvalování Facility a Národního plánu obnovy</t>
  </si>
  <si>
    <t>zpráva MŠMT o realizaci programových výzev</t>
  </si>
  <si>
    <t>Cíl 1: Počet vysokých škol, které provedly transformaci vzdělávací činnosti v souladu s požadavky reformy, včetně vytvoření nových studijních programů ve stanovených prioritních oblastech</t>
  </si>
  <si>
    <t>Počet vysokých škol</t>
  </si>
  <si>
    <t>Zdroj: závěrečné zprávy o projektech zveřejněné na webu MŠMT</t>
  </si>
  <si>
    <t>Ministerstvo školství, mládeže a tělovýchovy souhrnně za vysoké školy</t>
  </si>
  <si>
    <t>Počet vysokých škol, které úspěšně dokončily transformační projekty dle schválených projektových záměrů, které vedly k adaptaci na nové formy učení a k přizpůsobení vzdělávací nabídky měnícím se potřeby trhu práce v post-covidové obnově</t>
  </si>
  <si>
    <t>Rizikem pro dosažení cíle by mohly být omezené kapacity žadatelů pro přípravu a realizaci náročných transformačních projektů, zejména pokud by nastavení programu vedlo k příliš vysoké administrativní zátěži</t>
  </si>
  <si>
    <t>závěrečné zprávy z projektů</t>
  </si>
  <si>
    <t>3.1 Investice do rozvoje vybraných klíčových akademických pracovišť</t>
  </si>
  <si>
    <t>3.1 Investments in the development of selected key academic workplaces</t>
  </si>
  <si>
    <t>Milník 3. Schválení programu, vyhlášení výzvy a příjem žádostí</t>
  </si>
  <si>
    <t>Milestone 3. Program approved, announcement of the call and receipt of applications according to the set parameters and priority areas</t>
  </si>
  <si>
    <t>schválení programu, vyhlášení výzvy a příjem žádostí, které budou v souladu s parametry prioritních oblastí</t>
  </si>
  <si>
    <t>program approved, announcing the call and receiving applications that will be in accordance with the parameters of the priority areas</t>
  </si>
  <si>
    <t>interní postupy ministerstva při vyhlašování výzev a procesování příjmů žádostí</t>
  </si>
  <si>
    <t>the Ministry's internal procedures for announcing calls and processing applications</t>
  </si>
  <si>
    <t>Dle schváleného programu bude vyhlášena uzavřená výzva, do které se budou moci hlásit žadatelé, kteří předloží svůj projekt, který bude naplňovat parametry výzvy a bude demonstrovat, jak by uchazeč zadanou investici realizoval a za jakou sumu</t>
  </si>
  <si>
    <t>According to the approved program, a close call will be announced, in which applicants will be able to apply, who will submit their project, which will meet the parameters of the call and will demonstrate how the applicant would implement the investment and for what amount.</t>
  </si>
  <si>
    <t>Nedodržení lhůt, změna nebo nedodržení právních norem
Nedostatky ve stavební dokumentaci a s tím spojené obtíže při realizaci. Problémy u dodavatele a realizátora zakázek
Nedostatečné finanční zdroje, nízká institucionální podpora v době udržitelnosti</t>
  </si>
  <si>
    <t>Non-compliance with deadlines, change or non - compliance with legal norms
Deficiencies in construction documentation and associated difficulties in implementation. Problems with the supplier and the contractor
Insufficient financial resources, low institutional support in times of sustainability</t>
  </si>
  <si>
    <t>Konzultace, expertní dozory, udržování aktivních kontaktů</t>
  </si>
  <si>
    <t>Consultations, expert supervision, maintaining active contacts</t>
  </si>
  <si>
    <t>Milník 4. Termín ukončení zadávacího řízení, které je podkladem pro vydání rozhodnutí o poskytnutí dotace, zahájení realizace stavby</t>
  </si>
  <si>
    <t>Milestone 4. Deadline for completion of all tenders for the implementation of construction parts of actions / projects and the start of construction</t>
  </si>
  <si>
    <t>Ukončení zadávacího řízení na na zhotovitele stavební části akce a zahájení stavby budov</t>
  </si>
  <si>
    <t>Completion of the tender for the contractor of the construction part of the event and commencement of construction of buildings</t>
  </si>
  <si>
    <t>projektová dokumentace stavby v dosaženém stupni zpracování</t>
  </si>
  <si>
    <t>project documentation of the construction in the achieved stage of processing</t>
  </si>
  <si>
    <t>Bude stanoven předpokládaný termín ukončení zadávacího řízení, které je podkladem pro vydání rozhodnutí o poskytnutí dotace
Nejpozději v tuto dobu dojde k zazávazkování celkové alokace investičních akcí.</t>
  </si>
  <si>
    <t>The expected date of completion of the tender procedure, which is the basis for issuing the decision to provide a subsidy, will be set
At the latest at this time, the total allocation of the investment project will be committed.</t>
  </si>
  <si>
    <t>Nedodržení lhůt, změna nebo nedodržení právních norem
Nedostatky ve stavební dokumentaci a s tím spojené obtíže při realizaci. Problémy u organizátora veřejných zakázek. Problémy u dodavatele a zhotovitele projektové dokumentace. Podávání námitek k průběhu nebo výsledkům veřejné zakázky.
Nedostatečné finanční zdroje, nízká institucionální podpora v době udržitelnosti</t>
  </si>
  <si>
    <t>Non-compliance with deadlines, change or non - compliance with legal norms
Deficiencies in construction documentation and associated difficulties in implementation. Problems with the organizer of public procurement. Problems with the supplier and contractor of project documentation. Objection to the course or results of a public contract.
Insufficient financial resources, low institutional support in times of sustainability</t>
  </si>
  <si>
    <t>Cíl 2. Předpokládaná plošná výměra nově vybudovaných objektů</t>
  </si>
  <si>
    <t>Target 2. Estimated area of the new built buildings</t>
  </si>
  <si>
    <r>
      <t>m</t>
    </r>
    <r>
      <rPr>
        <vertAlign val="superscript"/>
        <sz val="12"/>
        <rFont val="Times New Roman"/>
        <family val="1"/>
        <charset val="238"/>
      </rPr>
      <t>2</t>
    </r>
    <r>
      <rPr>
        <sz val="12"/>
        <rFont val="Times New Roman"/>
        <family val="1"/>
        <charset val="238"/>
      </rPr>
      <t xml:space="preserve"> 
celkové užitkové plochy</t>
    </r>
  </si>
  <si>
    <t>cubic meter
of the total usable area</t>
  </si>
  <si>
    <r>
      <t>70 000 m</t>
    </r>
    <r>
      <rPr>
        <vertAlign val="superscript"/>
        <sz val="12"/>
        <rFont val="Times New Roman"/>
        <family val="1"/>
        <charset val="238"/>
      </rPr>
      <t>2</t>
    </r>
  </si>
  <si>
    <t>70 000 cubic meter</t>
  </si>
  <si>
    <t xml:space="preserve">Předpoklad o zabrané stavební ploše, na kterých budou nové objekty postaveny. </t>
  </si>
  <si>
    <t>Assumption of occupied building area, on which new buildings of selected academic workplaces will be built.</t>
  </si>
  <si>
    <t>Nedodržení lhůt, změna nebo nedodržení právních norem
Nedostatky ve stavební dokumentaci a s tím spojené obtíže při realizaci. Problémy u dodavatele a realizátora zakázek
Prodloužení lhůty archeologického průzkumu
Nedostatečné finanční zdroje, vznik nezpůsobilých výdajů, nízká institucionální podpora v době udržitelnosti</t>
  </si>
  <si>
    <t>Non-compliance with deadlines, change or non-compliance with legal norms
Deficiencies in construction documentation and associated difficulties in implementation. Problems with the supplier and the contractor
Extension of the period of archeological research
Insufficient financial resources, incurrence of ineligible expenditures, low institutional support in times of sustainability</t>
  </si>
  <si>
    <t>Milník 5. Termín ukončení realizace akce/projektu</t>
  </si>
  <si>
    <t>Milestone 5: Deadline for completion of the actions/project</t>
  </si>
  <si>
    <t>ukončení realizace akce/projektu, stěhování, užívání stavby</t>
  </si>
  <si>
    <t>completion of the implementation of the actions / project</t>
  </si>
  <si>
    <t>Bude stanoven předpokládaný termín dokončení na základě již dříve realizovaných investičních programů, do kterého bude zapotřebí veškeré práce zrealizovat</t>
  </si>
  <si>
    <t>The expected completion date will be set on the basis of previously implemented investment programs, by which all work will need to be completed</t>
  </si>
  <si>
    <t>4.1 Podpora škol</t>
  </si>
  <si>
    <t>4.1 School support</t>
  </si>
  <si>
    <t>Cíl 3. Počet podpořených škol (dětí a žáků)</t>
  </si>
  <si>
    <t>Target 3. Number of teachers supported by mentoring</t>
  </si>
  <si>
    <t xml:space="preserve">Number of school supported </t>
  </si>
  <si>
    <t>Continuously Q4 2025</t>
  </si>
  <si>
    <t>Jedná se o počet škol, které dostávají podporu při výuce a práci s žáky.</t>
  </si>
  <si>
    <t>This is the number of teachers who receive mentoring support in teaching and working with students.</t>
  </si>
  <si>
    <t>Nedostatečný zájem škol, nedostatečná síť mentorů, chybějící podpůrné profese pro učitele</t>
  </si>
  <si>
    <t>Insufficient interest of teachers in mentoring, insufficient network of mentors</t>
  </si>
  <si>
    <t>Zpětnovazební dotazníky účastníků</t>
  </si>
  <si>
    <t>Feedback questionnaires of participants</t>
  </si>
  <si>
    <t>4.2. Doučování žáků  škol</t>
  </si>
  <si>
    <t>4.2. Tutoring of  school pupils</t>
  </si>
  <si>
    <t>Cíl 4. Realizace doučování pro žáky ve školách</t>
  </si>
  <si>
    <t>Target 4. Implementation of tutoring for pupils in schools</t>
  </si>
  <si>
    <t>Počet žáků, které získaly podporu z programu</t>
  </si>
  <si>
    <t>Number of children who received support from the program</t>
  </si>
  <si>
    <t>Continuously to Q4 2025</t>
  </si>
  <si>
    <t>Cílem je zajistit účinnou podporu pro všechny žáky s různým typem znevýhodněných a žáků postižených dlouhodobým uzavřením škol.</t>
  </si>
  <si>
    <t xml:space="preserve">
The aim is effective support for all pupils with various types of disadvantages in connection with school closures.</t>
  </si>
  <si>
    <t xml:space="preserve">Nezájem žáků o doučování, nedostatečné personální kapacity škol </t>
  </si>
  <si>
    <t>Pupils' lack of interest in tutoring, insufficient staff capacity of schools</t>
  </si>
  <si>
    <t>Dosahované výsledky žáků ve výuce</t>
  </si>
  <si>
    <t>Achieved results of students in teaching</t>
  </si>
  <si>
    <t>3.3 Modernizace služeb zaměstnanosti a rozvoj trhu práce</t>
  </si>
  <si>
    <t>OSSZ Ústí nad Labem -snížení energetické náročnosti obálky budovy</t>
  </si>
  <si>
    <t>1.realizace stavební části</t>
  </si>
  <si>
    <t>Annoucnement of competitions</t>
  </si>
  <si>
    <t>Vyhlášení soutěží</t>
  </si>
  <si>
    <t>Realizace energeticky úsporných opatření při rekonstrukci státních budov</t>
  </si>
  <si>
    <t>4Q/2022</t>
  </si>
  <si>
    <t>MPSV, evidence žadatelů o podporu</t>
  </si>
  <si>
    <t>MPSV/ČSSZ</t>
  </si>
  <si>
    <t>Na akci vysoutěžen dodavatel, cílem předání díla v kolaudačním řízení</t>
  </si>
  <si>
    <t>Předpokladem je realizace dle časového a finančního harmonogramu, rizikem případné neplánované vícenáklady</t>
  </si>
  <si>
    <t>Dokoncčení a převzetí díla.</t>
  </si>
  <si>
    <t>OSSZ Prostějov - rekonstrukce budovy - snížení energetické náročnosti obálky budovy</t>
  </si>
  <si>
    <t>2.realizace stavební části</t>
  </si>
  <si>
    <t>Předpokladem je realizace dle časového a finančního harmonogramu, rizikem případné neplánované vícenáklady s ohledem na složitost rekonstrukce</t>
  </si>
  <si>
    <t>OSSZ Most - rekonstrukce budovy -snížení energetické náročnosti obálky budovy</t>
  </si>
  <si>
    <t>3.veřejná zakázka na stavební práce</t>
  </si>
  <si>
    <t>4Q/2023</t>
  </si>
  <si>
    <t>Akce registrována, příprava veřejné zakázky, výběr dodavatele stavby a souvisejících činností. Cílem je předání díla v kolaudačním řízení</t>
  </si>
  <si>
    <t>Předpokladem je vysoutěžení kvalitního dodavatele, rizikem mohou vícenáklady v případě nízké nabídkové ceny.</t>
  </si>
  <si>
    <t>OSSZ Semily - Snížení energetické náročnosti budovy - rekonstrukce ÚT</t>
  </si>
  <si>
    <t>6.schválení investičního záměru/vydání RA v EDS/SMVS</t>
  </si>
  <si>
    <t>4Q/2021</t>
  </si>
  <si>
    <t>Zahrnutí do DP ČSSZ na roky 2022-2026;registrace akce a stanovení výdajů na základě veřejné soutěže, cílem je předání díla v kolaudačním řízení</t>
  </si>
  <si>
    <t>Včasná realizace přípravných prací (investiční záměry programu), rizika nepředpokládáme, pokud bude dostatečná nabídka uchazečů, dodavatelů na realizaci akce</t>
  </si>
  <si>
    <t>ČSSZ Ústředí - Datové centrum - Rekonstrukce výtahu</t>
  </si>
  <si>
    <t>7.schválení investičního záměru/vydání RA v EDS/SMVS</t>
  </si>
  <si>
    <t>Realizace energeticky úsporných opatření a bezpečnosti práce</t>
  </si>
  <si>
    <t>OSSZ Kroměříž - Rekonstrukce vzdělávacího střediska vč. modernizace výtahu</t>
  </si>
  <si>
    <t>8.schválení investičního záměru/vydání RA v EDS/SMVS</t>
  </si>
  <si>
    <t>ČSSZ Ústředí - Rekonstrukce kotelny -snížení energetické náročnosti budovy</t>
  </si>
  <si>
    <t>9.schválení investičního záměru/vydání RA v EDS/SMVS</t>
  </si>
  <si>
    <t>Ekonomika energetického hospodářství-zvýšení energetické úspornosti</t>
  </si>
  <si>
    <t>Zahrnutí do DP ČSSZ na roky 2022-2026;registrace akce a stanovení výdajů na základě veřejné soutěže ,cílem je předání díla v kolaudačním řízení</t>
  </si>
  <si>
    <t xml:space="preserve">OSSZ Litoměřice - Snížení energetické náročnosti budovy a rekonstrukce vytápění budovy </t>
  </si>
  <si>
    <t>10.schválení investičního záměru/vydání RA v EDS/SMVS</t>
  </si>
  <si>
    <t xml:space="preserve">OSSZ Domažlice - Snížení energetické náročnosti budovy </t>
  </si>
  <si>
    <t>11.schválení investičního záměru/vydání RA v EDS/SMVS</t>
  </si>
  <si>
    <t>OSSZ Česká Lípa - Snížení energetické náročnosti budovy</t>
  </si>
  <si>
    <t>12.schválení investičního záměru/vydání RA v EDS/SMVS</t>
  </si>
  <si>
    <t>SČ- Sokolovská - rekonstrukce budovy -snížení energetické náročnosti obálky budovy</t>
  </si>
  <si>
    <t>13.Schválení DP ČSSZ na roky 2022-2026</t>
  </si>
  <si>
    <t>4Q/2024</t>
  </si>
  <si>
    <t>OSSZ Chrudim - rekonstrukce budovy -snížení energetické náročnosti obálky budovy</t>
  </si>
  <si>
    <t>14.Schválení DP ČSSZ na roky 2022-2026</t>
  </si>
  <si>
    <t xml:space="preserve">OSSZ Ostrava - snížení energetické náročnosti </t>
  </si>
  <si>
    <t>15.Schválení DP ČSSZ na roky 2022-2026</t>
  </si>
  <si>
    <t>Realizace energeticky úsporných opatření</t>
  </si>
  <si>
    <t>OSSZ Zlín - snížení energetické náročnosti budovy</t>
  </si>
  <si>
    <t>16.Schválení DP ČSSZ na roky 2022-2026</t>
  </si>
  <si>
    <t>4Q/2025</t>
  </si>
  <si>
    <t>Budování kapacit předškolních zařízení</t>
  </si>
  <si>
    <t>1. Dokončení první části projektů</t>
  </si>
  <si>
    <t xml:space="preserve">počet zařízení/projektů </t>
  </si>
  <si>
    <t xml:space="preserve">120 - 140 projektů/ stavebních záměrů v zařízeních dokončeno.  </t>
  </si>
  <si>
    <t xml:space="preserve">MPSV, evidence žadatelů/příjemců pravděpodobně v systému MS2014+ </t>
  </si>
  <si>
    <t>MPSV</t>
  </si>
  <si>
    <t xml:space="preserve"> U cca 120 - 140 zařízení bude dokončena realizace úprav prostoru ať už v návaznosti na novelu zákona č. 247/2014 Sb., o poskytování služby péče o dítě v dětské skupině a o změně souvisejících zákonů či z jiných důvodů.         . </t>
  </si>
  <si>
    <t xml:space="preserve">Včasná přírava stavebních záměrů a výběr dodavatelů. Dostatečná připravenost projektových záměrů. Včasná příprava stavební dokumentace, vyřízení potřebných schválení, výběr dodavatelů a vlastní včasná realizace. </t>
  </si>
  <si>
    <t xml:space="preserve">schválení zpráv o realizaci projektů, kontroly na místě </t>
  </si>
  <si>
    <t>2. Dokončení druhé části projektů</t>
  </si>
  <si>
    <t xml:space="preserve">150 - 185 projektů/ stavebních záměrů v zařízeních dokončeno.   </t>
  </si>
  <si>
    <t>U dalších cca 150 - 185 zařízení bude dokončena realizace úprav prostoru.</t>
  </si>
  <si>
    <t>5. Dokončení třetí části projektů</t>
  </si>
  <si>
    <t xml:space="preserve">230 - 305 projektů/ stavebních záměrů v zařízeních dokončeno.    </t>
  </si>
  <si>
    <t>U dalších cca 30 - 45 zařízení bude dokončena realizace úprav prostoru. Dosavadní podpora vzniku jeslí v ČR bude dále doplněna o možnost výstavby zcela nových objektů nebo nákup stávajících objektů a následnou adaptaci na jesle. Bude se jednat o investiční projekty z cílem navýšit stávající kapacity  jeslí.  200 - 260 projektů na novou výstavbu, nákup objektů nebo rekonstrukci a adaptaci za účelem vzniku jeslí bude dokončeno.</t>
  </si>
  <si>
    <t>Investice: Rozvoj politiky zaměstnanosti (rekvalifikace a další profesní vzdělávání) Investment: Development of employment policy (Reskilling and further vocational training) Challenges: According to Act No. 435/2004 Coll., on Employment, only authorized reskilling facilities are allowed to provide reskilling within the active employment policy tools, which consist of obtaining a new qualification and increasing, expanding or deepening the existing qualification. These facilities also include secondary schools, which can provide reskilling in the field of education, which they have registered in the register of schools and school facilities and universities with an accredited study program according to a special legal regulation. However, reskilling facilities may also be established by the Labour Office of the Czech Republic. One of the significant problems in the area of providing reskilling is the implementation of reskilling through the Labour Office of the Czech Republic according to the system of awarding public procurements. The main challenge will be to effectively set up and expand cooperation in providing reskilling and further vocational training through the Labour Office of the Czech Republic in cooperation with secondary schools and universities, which can make a significant contribution. The investment can increase the availability, offerings, and quality of the education provided through the Labour Office of the Czech Republic and better link the education system with the needs of the labour market.
Objectives: The range of opportunities for digital skill development will be expanded and also will support new opportunities and new ways of acquiring new digital skills. The aim of the investment will be a more efficient use of the capacities of secondary and higher education institutions in providing reskilling and further vocational training, including the possibility of creating joint reskilling facilities and using modern teaching technologies. The activities of this investment will mainly include the equipment of classrooms with virtual reality and other technical equipment corresponding to the conditions of Industry 4.0.
Implementation: The Ministry of Labour and Social Affairs and The Labour Office of the Czech Republic in cooperation with the Ministry of Education, secondary school founders and involved secondary schools and universities.
State Aid: Support for the training of unemployed jobseekers, counseling and coaching (part of active labour market policy) does not constitute state aid. Support for the training of employees of SME´s (who are currently employed) or the training of self-employed people fulfills the characteristics of State aid and all supported activities will be implemented in the public support regime (de minimis aid or a block exemption).
Target population: employees (in particular SME) and the self-employed persons but also the working age population in general. 
Timeline: The investment should be implemented gradually by end 2025 and the investment represented by the call for SME´s and self-employed persons will be launched in 2022.</t>
  </si>
  <si>
    <t>Development of employment policy 
(reskilling and further vocational training)</t>
  </si>
  <si>
    <t>1. Účastníci, kteří si zvýšili nebo prohloubili úroveň svých digitálních dovedností</t>
  </si>
  <si>
    <t>Participants who have increased or improved their digital skills</t>
  </si>
  <si>
    <t>účastníci, kteří si zvýšili nebo prohloubili své digitální dovednosti</t>
  </si>
  <si>
    <t>participants who have increased or improved their digital skills</t>
  </si>
  <si>
    <t>osoba, která získala rekvalifikaci nebo profesní vzdělávání</t>
  </si>
  <si>
    <t>a person who has received reskilling or vocational training</t>
  </si>
  <si>
    <t>130 000 (65 000 osob s rekvalifikací a 65 000 osob podpořených v profesním vzdělávání)
Milníky (na konci roku)
2022 – 8000 osob
2023 – 20 000 osob
2024 – 41 660 osob
2025 – 60 340 osob</t>
  </si>
  <si>
    <t>130 000 (65 000 persons reskilling, 65 000 persons in vocational training)
Milestones (at the end of the year)
2022 – 8000 persons
2023 – 20 000 persons
2024 – 41 660 persons
2025 – 60 340 persons</t>
  </si>
  <si>
    <t xml:space="preserve"> 12/2025</t>
  </si>
  <si>
    <t xml:space="preserve">obdoba stávajících sledovacích  IT systémů a databází MPSV (Okpráce/IS ZAM)/MF/SFŽP
</t>
  </si>
  <si>
    <t>similar to existing monitoring systems: IT systems and databases MoLSA (OKprace, IS ZAM)/MoF/SEF</t>
  </si>
  <si>
    <t>MPSV/ÚP ČR</t>
  </si>
  <si>
    <t>MoLSA/LO CR</t>
  </si>
  <si>
    <t>certifikáty, osvědčení, prezenční listiny</t>
  </si>
  <si>
    <t>certificates, attendance lists</t>
  </si>
  <si>
    <t>riziko nezájmu ze strany CS, riziko zpoždění VZ</t>
  </si>
  <si>
    <t>Risk of lack of interest from the target group, risk of delay in public procurements</t>
  </si>
  <si>
    <t>Administrativní kontroly, Kontroly na místě</t>
  </si>
  <si>
    <t>Administrative checks, checks at the beneficiaries</t>
  </si>
  <si>
    <t>2. Materiálně technicky vybavené  moderní vzdělávací centrum</t>
  </si>
  <si>
    <t>materially and technically equipped modern training center</t>
  </si>
  <si>
    <t>materiálně technicky vybavené  moderní vzdělávací centrum odpovídající požadavkům průmyslu 4.0</t>
  </si>
  <si>
    <t>materially and technically equipped modern training center corresponding to the requirements of industry 4.0</t>
  </si>
  <si>
    <t>materiálně technicky vybavené  moderní vzdělávací centrum</t>
  </si>
  <si>
    <t xml:space="preserve">obdoba stávajících sledovacích  IT systémů a databází MPSV/MMR/SFŽP
</t>
  </si>
  <si>
    <t>similar to existing monitoring systems: IT systems and databases MoLSA/MoRD/SEF</t>
  </si>
  <si>
    <t>materiálně technické vybavení  odpovídající požadavkům průmyslu 4.0</t>
  </si>
  <si>
    <t>material and technical equipment corresponding to the requirements of industry 4.0</t>
  </si>
  <si>
    <t xml:space="preserve">zpoždění VZ, otázka existence odpovídající nabídky hardwarového a softwarového řešení pro vzdělávací účely  </t>
  </si>
  <si>
    <t>Risk of delay in public procurements.</t>
  </si>
  <si>
    <t>3. Vytvoření Výboru pro rekvalifikace a další vzdělávání</t>
  </si>
  <si>
    <t>Establishment of the Committee for Retraining and Further Education</t>
  </si>
  <si>
    <t>nominace všech členů Výboru pro rekvalifikace a další vzdělávání</t>
  </si>
  <si>
    <t>nomination of all members of the Committee for Retraining and Further Education</t>
  </si>
  <si>
    <t>Výbor pro rekvalifikace a další vzdělávání</t>
  </si>
  <si>
    <t xml:space="preserve"> the Committee for Retraining and Further Education</t>
  </si>
  <si>
    <t>Výbor pro rekvalifikace a další vzdělávání jako funkční koordinační mechanismus</t>
  </si>
  <si>
    <t>Committee on Retraining and Further Education as a functional coordination mechanism</t>
  </si>
  <si>
    <t>1/2022</t>
  </si>
  <si>
    <t>registr pracovních skupin MPSV, statut a jednací řád, prezenční listiny a zápisy z jednání výboru</t>
  </si>
  <si>
    <t>register MoLSA of working groups, statute and rules of procedure, attendance lists and minutes of committee meetings</t>
  </si>
  <si>
    <t>MPSV/MŠMT</t>
  </si>
  <si>
    <t>MLSA/MEYS</t>
  </si>
  <si>
    <t>realizace jednání Výboru pro rekvalifikace a další vzdělávání  na tripartitní bázi</t>
  </si>
  <si>
    <t xml:space="preserve"> meetings of the Committee for Retraining and Further Education on a tripartite basis</t>
  </si>
  <si>
    <t>ochota institucí podílet se na chodu výboru</t>
  </si>
  <si>
    <t>the willingness of the institutions to participate in the running of the committee</t>
  </si>
  <si>
    <t>prezenční listiny a zápisy z jednání výboru</t>
  </si>
  <si>
    <t>attendance lists and minutes of committee meetings</t>
  </si>
  <si>
    <t>4. Vytvoření databáze rekvalifikací a kurzů dalšího vzdělávání</t>
  </si>
  <si>
    <t>Creation of a database of retraining and further education courses</t>
  </si>
  <si>
    <t>Vytvořená funkční databáze rekvalifikací a kurzů dalšího vzdělávání</t>
  </si>
  <si>
    <t>Created functional database of retraining and further education courses</t>
  </si>
  <si>
    <t>databáze rekvalifikací a kurzů dalšího vzdělávání</t>
  </si>
  <si>
    <t>database of retraining and further education courses</t>
  </si>
  <si>
    <t>12/ 2023</t>
  </si>
  <si>
    <t xml:space="preserve">obdoba stávajících databázových systémů MPSV
</t>
  </si>
  <si>
    <t>similar to existing databases MoLSA</t>
  </si>
  <si>
    <t>vytvoření databáze rekvalifikací a kurzů dalšího vzdělávání, která bude primárně sloužit k párování nabídky a poptávky po vzdělávání</t>
  </si>
  <si>
    <t>creation of a database of retraining and further education courses, which will primarily serve to match the supply and demand for education</t>
  </si>
  <si>
    <t>zpoždění VZ, technické řešení databáze, identifikace relevantních zdrojů dat</t>
  </si>
  <si>
    <t xml:space="preserve">Administrativní kontroly </t>
  </si>
  <si>
    <t xml:space="preserve">Administrative checks </t>
  </si>
  <si>
    <t>4.1 Systematická podpora veřejných investic</t>
  </si>
  <si>
    <t>1. Podpora přípravy projektů</t>
  </si>
  <si>
    <t>1.1. Příprava projektu - zazávazkované / zasmluvněné projekty, které budou podpořeny ve fázi přípravy</t>
  </si>
  <si>
    <t>počet vybraných projektů pro přípravu</t>
  </si>
  <si>
    <t xml:space="preserve">Cíl vymezený jako zazávazkování či zasmluvnění projektu spočívá v komplexní podpoře přípravy projektů - pro klasické výběrové řízení, pro výběr dodavatele formou Design and Build, PPP projektů či příprava projektů v BIM. Detailní popis podpoby podpory je v popisu komponenty. Tento cíl je vymezen momentem uzavření závazku ze strany MMR, momentem, kdy proces přípravy podpořené z NPO začíná. </t>
  </si>
  <si>
    <t>Riziko zpoždění, riziko nepřesného zacílení z hlediska možné poptávky</t>
  </si>
  <si>
    <t>kontrolní mechanismy MMR v rámci administrace dotací</t>
  </si>
  <si>
    <t>Cíl - dokončená příprava projektů</t>
  </si>
  <si>
    <t>1.2. Počet připravených projektů</t>
  </si>
  <si>
    <t>počet připravených projektů</t>
  </si>
  <si>
    <t xml:space="preserve">Cíl v podobě připravených projektů se od výše uvedených liší tím, že bude naplněn v momentu, kdy příprava vybraných projektů bude dokončena do stavu, který je popsaný v textu komponenty - cíl bude naplněn po provedení kontroly přípravyných dokumentů závazně vyžadovaných pro jednotlivé fáze přípravy - s hodnocením pozitivním. </t>
  </si>
  <si>
    <t>2.1 Počet zrealizovaných školení</t>
  </si>
  <si>
    <t>2.1 Coordination unit for public investement</t>
  </si>
  <si>
    <t>počet zrealizovaných školících bloků</t>
  </si>
  <si>
    <t>Ministry for Regional Development</t>
  </si>
  <si>
    <t xml:space="preserve">jedná se o cíl, který spočívá v realizovaných školících blocích - školící bloky vžy cílené na jedno téma a jeden kraj - organizovat se budou postupně intenzivní upskillingové školící bloky pro každý kraj zvlášť s cílem školit témata nových výzev nicméně vždy pouze klíčové osoby na území daného kraje, aby se pracovalo s malým počtem osob, které jsou spojeny podobnými zkušenostmi a problémy. </t>
  </si>
  <si>
    <t>Riziko zpoždění, riziko nepřesného zacílení</t>
  </si>
  <si>
    <t>control mechanisms of the MoRD within the subsidy administration process; external examination of the study</t>
  </si>
  <si>
    <t>2.2 Počet připravených metodických dokumentů</t>
  </si>
  <si>
    <t xml:space="preserve">2.2 Analytic SW for desion making support </t>
  </si>
  <si>
    <t>počet připravených metodických dokumentů</t>
  </si>
  <si>
    <t xml:space="preserve">Cílí se na vytváření následujících dokumentů - většina vznikne v období roku 202 - 2022 - konkrétně: • Prioritizační manuál pro projekty souladné s EU taxonomií – pro výběr projektů, které nejen naplňují DNSH, ale i měří míru pozitivního dopadu na životní prostředí
• Manuál pro měření uhlíkového dopadu
• Metodika pro tvorbu projektů souladných se Zelenou dohodou pro Evropu
• Metodika pro tvorbu projektů pro bezuhlíkovou Evropu
• Metodika pro digitální a chytrou transformaci               • Metodika pro digitální a chytrou transformaci
• Metodika pro tvorbu PPP projektů – vč. standardů smluv a podkladů pro výběrová řízení
• Metodické doporučení pro přípravu projektů na základě monitoringu dobré a špatné praxe
</t>
  </si>
  <si>
    <t>2.3. Zazávazkování kompetenčního centra a prescoringového SW</t>
  </si>
  <si>
    <t>jednotka, vč. SW</t>
  </si>
  <si>
    <t>Cíl spočívá v ustavení kompetenčního centra, které bude mít roli koordinátora aktivit - metodických, školících, v oblasti přípravy projektů. Součástí kompetenčního centra je i vytvořený prescoringový SW.</t>
  </si>
  <si>
    <t>control mechanisms of the MoRD within the subsidy administration process</t>
  </si>
  <si>
    <t>4.2.1 Nové kvazikapitálové nástroje na podporu podnikání</t>
  </si>
  <si>
    <t>Milestone 1: Příprava ČMZRB na správu kvazikapitálových nástrojů</t>
  </si>
  <si>
    <t>Připravení modelu správy kvazikapitálových nástrojů</t>
  </si>
  <si>
    <t>ČMZRB</t>
  </si>
  <si>
    <t>Příprava ČMZRB na produktovou inovaci v rámci zavedení kvazikapitálových nástrojů, příprava modelu správy a odborných kapacit finanční instituce. Milníkem je schválení plánu realizace a vnitřních předpisů pro zavedení kvazikapitálových nástrojů dozorčí radou ČMZRB.</t>
  </si>
  <si>
    <t>Konzultace s tržními subjekty</t>
  </si>
  <si>
    <t>Milestone 2: Smlouva s ČMZRB</t>
  </si>
  <si>
    <t>Podpis dohody o financování mezi MPO a skupinou ČMZRB</t>
  </si>
  <si>
    <t>Dohoda o financování definující povinnosti obou stran v rámci realizace kvazikapitálového FN.</t>
  </si>
  <si>
    <t>Schválení vnitřních předpisů</t>
  </si>
  <si>
    <t>Milestone 3: Vyhlášení výzvy</t>
  </si>
  <si>
    <t xml:space="preserve">Platná výzva pro podniky zveřejněná skupinou ČMZRB </t>
  </si>
  <si>
    <t>Bude připravena průběžná výzva pro žadatele s podmínkami způsobilosti a spuštěn příjem žádostí.</t>
  </si>
  <si>
    <t>Dohoda o financování</t>
  </si>
  <si>
    <t>Target 1: Počet podpořených podniků</t>
  </si>
  <si>
    <t>Počet podpořených způsobilých podniků (kumulativně)</t>
  </si>
  <si>
    <t>Počet podniků podpořených kvazikapitálovým nástrojem ČMZRB (společnosti do 3 000 zaměstnanců) - stanoveno na základě limitů výše investice a předpokládaného počtu investic</t>
  </si>
  <si>
    <t>Sběr dat od ČMZRB, kontrola MPO</t>
  </si>
  <si>
    <t>Target 2: Počet podpořených podniků</t>
  </si>
  <si>
    <t>Operační riziko správy FN</t>
  </si>
  <si>
    <t>Target 3: Počet podpořených podniků</t>
  </si>
  <si>
    <t>Target 4: Počet podpořených podniků</t>
  </si>
  <si>
    <t>Target 5: Počet podpořených podniků</t>
  </si>
  <si>
    <t>Q2 2024</t>
  </si>
  <si>
    <t>Target 6: Počet podpořených podniků</t>
  </si>
  <si>
    <t>Target 7: Počet podpořených podniků</t>
  </si>
  <si>
    <t>Target 8: Počet podpořených podniků</t>
  </si>
  <si>
    <t xml:space="preserve">1.1 Zlepšení postavení oznamovatelů </t>
  </si>
  <si>
    <t xml:space="preserve">1.1 Improvement of the whistleblowers' position </t>
  </si>
  <si>
    <t>Milestone 1: Dokončení komparativní studie</t>
  </si>
  <si>
    <t>Milestone 1: Comparative study finished</t>
  </si>
  <si>
    <t>Komparativní studie porovnávající osvětové kampaně v zahraničí poskytne příklady dobré praxe</t>
  </si>
  <si>
    <t>A comparative study comparing foreign awarness campaigns will provide us with a range of expamples of good practise</t>
  </si>
  <si>
    <t xml:space="preserve">4Q 2023 </t>
  </si>
  <si>
    <t>Ministerstvo spravedlnosti / Směrnice Evropského parlamentu a Rady (EU) 2019/1937 ze dne 23. října 2019 o ochraně osob, které oznamují porušení práva Unie</t>
  </si>
  <si>
    <t>Ministry of Justice / Directive (EU) 2019/1937 of the European Parliament and of the Council of 23 October 2019 on the protection of persons who report breaches of Union law</t>
  </si>
  <si>
    <t>Odbor střetu zájmů a boje proti korupci Ministerstva spravedlnosti</t>
  </si>
  <si>
    <t>Conflict of Interests and Anti-Corruption Department of the Ministry of Justice</t>
  </si>
  <si>
    <t>Nevyhovující kvalita zpracování komparativní studie ze strany dodavatele</t>
  </si>
  <si>
    <t xml:space="preserve">The quality of the comparative study will be inadequate </t>
  </si>
  <si>
    <t>Komparativní studie</t>
  </si>
  <si>
    <t>Comparative study</t>
  </si>
  <si>
    <t>Milestone 2: Účast na mezinárodní konferenci</t>
  </si>
  <si>
    <t>Milestone 2: Parcipation in an International conference</t>
  </si>
  <si>
    <t>Výsledky mezinárodní konference k ochraně oznamovatelů budou použité pro osvětovou kampaň i metodickou podporu</t>
  </si>
  <si>
    <t>The outcomes of the international conference on the protection of whistleblowers will be used for an awarness campaign and for metodical support</t>
  </si>
  <si>
    <t>Ministerstvo spravedlnosti / Legislativní pravidla vlády, Směrnice Evropského parlamentu a Rady (EU) 2019/1937 ze dne 23. října 2019 o ochraně osob, které oznamují porušení práva Unie</t>
  </si>
  <si>
    <t>Možný odklad realizace mezinárodní konference z důvodu pandemie nemoci covid-19</t>
  </si>
  <si>
    <t>The conference might be postponed due to the covid-19 pandemic</t>
  </si>
  <si>
    <t>Prezenční listina relevantních účastníků</t>
  </si>
  <si>
    <t>Signed list of relevant participants</t>
  </si>
  <si>
    <t>Target 1: Přijetí zákona o ochraně oznamovatelů a souvisejícího změnového zákona</t>
  </si>
  <si>
    <t>Target 1: Adoption of the Act on the Protection of Whistleblowers and the accompaning amendmnet Act</t>
  </si>
  <si>
    <t>binární</t>
  </si>
  <si>
    <t>binary</t>
  </si>
  <si>
    <t>status quo</t>
  </si>
  <si>
    <t>přijetí zákonů</t>
  </si>
  <si>
    <t>adoption of the acts</t>
  </si>
  <si>
    <t>4Q 2024</t>
  </si>
  <si>
    <t>Ministry of Justice / Government Legislative Rules, Directive (EU) 2019/1937 of the European Parliament and of the Council of 23 October 2019 on the protection of persons who report breaches of Union law</t>
  </si>
  <si>
    <t>Předmětné zákony budou zveřejněny ve Sbírce zákonů</t>
  </si>
  <si>
    <t>The Acts will be published in the official collection of laws</t>
  </si>
  <si>
    <t>Omezená možnost exekutivy ovlivnit rychlost legislativního procesu</t>
  </si>
  <si>
    <t>Limited tools available to the executive to influence the length of the legislative process</t>
  </si>
  <si>
    <t xml:space="preserve">Vyhlášení předmětných zákonů ve Sbírce zákonů </t>
  </si>
  <si>
    <t>Announcement of the Acts in the official Collection of Laws</t>
  </si>
  <si>
    <t>Target 2: Vytvoření vnějšího oznamovacího systému na Ministerstvu spravedlnosti</t>
  </si>
  <si>
    <t>Target 2: Creation of an external reporting channel with the Ministry of Justice</t>
  </si>
  <si>
    <t>vytvoření vnějšího oznamovacího systému</t>
  </si>
  <si>
    <t>creation of an external reporting channel</t>
  </si>
  <si>
    <t>Bude zřízen fungující a zabezpečený vnější oznamovací systém</t>
  </si>
  <si>
    <t xml:space="preserve">A secure and functioning external reporting channel will be created </t>
  </si>
  <si>
    <t>Omezená možnost zástupců Ministerstva spravedlnosti ovlivnit financování vzniku vnějšího oznamovacího systému</t>
  </si>
  <si>
    <t>A limited possibility for the Ministry of Justice to influence the financing decisions regarding the external reporting channel</t>
  </si>
  <si>
    <t>Oznamovatelé budou moci využívat vnějšího oznamovacího systému v soualdu se Směrnicí</t>
  </si>
  <si>
    <t xml:space="preserve">The whistleblowers will be able to use the external reporting channel in accordance with the Directive </t>
  </si>
  <si>
    <t>1.1 Improvement of the whistleblowers' position</t>
  </si>
  <si>
    <t>Target 3: Školení odborné veřejnosti</t>
  </si>
  <si>
    <t xml:space="preserve">Target 3: Trainig for legal profesionals </t>
  </si>
  <si>
    <t>realizace školení odborné veřejnosti</t>
  </si>
  <si>
    <t>the trainnig will take place</t>
  </si>
  <si>
    <t>Proběhne školení odborné veřejnosti k problematice ochrany oznamovatelů</t>
  </si>
  <si>
    <t>A training for legal professionals on the protection of whistleblowers will take place</t>
  </si>
  <si>
    <t>Nezájem o školení ze strany odborné veřejnosti</t>
  </si>
  <si>
    <t>Legal professionals will not be interested in the training</t>
  </si>
  <si>
    <t xml:space="preserve">Podepsaná prezenční listina </t>
  </si>
  <si>
    <t>Signed list of participants</t>
  </si>
  <si>
    <t>Target 4: Osvětová kampaň široké veřejnosti</t>
  </si>
  <si>
    <t>Target 4: Awarness campaign for the general public</t>
  </si>
  <si>
    <t>realizace osvětové kampaně</t>
  </si>
  <si>
    <t xml:space="preserve">an awarness campaign will take place </t>
  </si>
  <si>
    <t>4Q 2023</t>
  </si>
  <si>
    <t xml:space="preserve">Proběhne osvětová kamapaň k probematice ochrany oznamovatelů </t>
  </si>
  <si>
    <t>An awarness campaign on the protection of whistleblowers will také place</t>
  </si>
  <si>
    <t>Nezájem široké veřejnosti o osvětovou kampaň</t>
  </si>
  <si>
    <t>The general public will not be interested in the campaign</t>
  </si>
  <si>
    <t>Informační brožura bude distribuována široké veřejnosti</t>
  </si>
  <si>
    <t>An information brochure will be disseminated among the general public</t>
  </si>
  <si>
    <t>1.2 Reforma v justici zaměřená na posílení legislativního rámce a transparentnosti v oblasti  soudů, soudců, státních zástupců a soudních exekutorů</t>
  </si>
  <si>
    <t xml:space="preserve">1.2 Judicial reform aimed at strengthening the legislative framework and transparency in the area of courts, judges, prosecutors and bailiffs </t>
  </si>
  <si>
    <t>Milestone 1: Přijetí navrhované novely zákona č. 6/2002 Sb., o soudech, soudcích, přísedících a státní správě soudů a o změně některých dalších zákonů (zákon o soudech a soudcích), ve znění pozdějších předpisů (sněmovní tisk 630) v Parlamentu</t>
  </si>
  <si>
    <t xml:space="preserve">Milestone 1: Adoption of the proposed amendment to Act No. 6/2002 Coll., on Courts, Judges, and State Administration of Courts and on Amendments to Certain Other Acts (Act on Courts and Judges), as amended (Parliamentary Press 630) in the Parliament </t>
  </si>
  <si>
    <t xml:space="preserve">Zakotvení objektivních pravidel pro výběr soudců a soudních funkcionářů, podrobnější úprava vedlejší činnosti soudců a zefektivnění soudních řízení, na kterých se podílejí přísedící. </t>
  </si>
  <si>
    <t>Introduction of objective rules for the selection of judges and court officials, more detailed regulation of secondary activity of judges, and streamlining of court proceedings in which lay judges participate.</t>
  </si>
  <si>
    <t xml:space="preserve">4Q 2021 
</t>
  </si>
  <si>
    <t>Ministerstvo spravedlnosti / Legislativní pravidla vlády, Hodnotící zpráva ČR v rámci IV. kola hodnocení GRECO</t>
  </si>
  <si>
    <t>Ministry of Justice / Government Legislative Rules, Evaluation Report of Czech Republic in IV. Evaluation Round of GRECO</t>
  </si>
  <si>
    <t xml:space="preserve">Odbor legislativní Ministerstva spravedlnosti </t>
  </si>
  <si>
    <t xml:space="preserve">Legislative Department of the Ministry of Justice </t>
  </si>
  <si>
    <t xml:space="preserve">Předmětná novela bude vyhlášena v oficiální sbírce zákonů </t>
  </si>
  <si>
    <t>The amendment will be published in the official collection of laws</t>
  </si>
  <si>
    <t xml:space="preserve">Vyhlášení předmětné novely ve sbírce zákonů </t>
  </si>
  <si>
    <t>Announcement of the amendment in the official Collection of Laws</t>
  </si>
  <si>
    <t xml:space="preserve">1.2 Reforma v justici zaměřená na posílení legislativního rámce a transparentnosti v oblasti  soudů, soudců, státních zástupců a soudních exekutorů </t>
  </si>
  <si>
    <t>Milestone 2: Přijetí navrhované novely zákona č. 7/2002 Sb., o řízení ve věcech soudců, státních zástupců a soudních exekutorů, ve znění pozdějších předpisů, a další související zákony (sněmovní tisk 683) v Parlamentu</t>
  </si>
  <si>
    <t>Milestone 2: Adoption of the proposed amendment to Act No. 7/2002 Coll., On Proceedings in Matters of Judges, Public Prosecutors and Bailiffs, as amended, and other related acts (Parliamentary Press 683) in the Parliament</t>
  </si>
  <si>
    <t xml:space="preserve">Zvýšení efektivity řízení ve věcech soudců, státních zástupců a soudních exekutorů a zavedení odvolacího přezkumu v těchto řízeních. </t>
  </si>
  <si>
    <t xml:space="preserve">Increase of efficiency in proceedings of judges, prosecutors, and bailiffs. Introduction of appeals review in such proceedings. </t>
  </si>
  <si>
    <t xml:space="preserve">Vyhlášení předmětné novely ve Sbírce zákonů </t>
  </si>
  <si>
    <t>Target 1: Navrhovaná novela zákona č. 6/2002 Sb., o soudech, soudcích, přísedících a státní správě soudů a o změně některých dalších zákonů (zákon o soudech a soudcích), ve znění pozdějších předpisů (sněmovní tisk 630), vstoupí v účinnost</t>
  </si>
  <si>
    <t>Tagret 1: The proposed amendment to Act No. 6/2002 Coll., on Courts, Judges, and State Administration of Courts and on Amendments to Certain Other Acts (Act on Courts and Judges), as amended (Parliamentary Press 630) will come into effect</t>
  </si>
  <si>
    <t xml:space="preserve">status quo </t>
  </si>
  <si>
    <t>vstup novely v účinnost</t>
  </si>
  <si>
    <t>the amendment coming into effect</t>
  </si>
  <si>
    <t xml:space="preserve">2Q 2023 </t>
  </si>
  <si>
    <t xml:space="preserve">Předmětná novela vstoupí v účinnost </t>
  </si>
  <si>
    <t>The amendment will come into effect</t>
  </si>
  <si>
    <t>Novela vstoupí v účinnost</t>
  </si>
  <si>
    <t>Target 2: Navrhovaná novela zákona č. 7/2002 Sb., o řízení ve věcech soudců, státních zástupců a soudních exekutorů, ve znění pozdějších předpisů, a další související zákony (sněmovní tisk 683), vstoupí v účinnost</t>
  </si>
  <si>
    <t xml:space="preserve">Target 2: The proposed amendment to Act No. 7/2002 Coll., On Proceedings in Matters of Judges, Public Prosecutors and Bailiffs, as amended, and other related acts (Parliamentary Press 683) will come into effect </t>
  </si>
  <si>
    <r>
      <t xml:space="preserve">4Q 2025  
</t>
    </r>
    <r>
      <rPr>
        <i/>
        <sz val="12"/>
        <rFont val="Times New Roman"/>
        <family val="1"/>
        <charset val="238"/>
      </rPr>
      <t xml:space="preserve">
</t>
    </r>
  </si>
  <si>
    <t>1.3 Sběr dat o korupci v ČR</t>
  </si>
  <si>
    <t>1.3 Corruption-related data collection in the Czech Republic</t>
  </si>
  <si>
    <t>Milestone 1: Dokončení on-line průzkumu mezi insidery</t>
  </si>
  <si>
    <t>Milestone 1: Completion of on-line survey among insiders</t>
  </si>
  <si>
    <t>Bude dokončen on-line sociologický průzkum, který bude zahrnovat infromace od vypovídajícího počtu respondentů z vybraných sektorů tak, aby bylo možné provést následné kroky v podobě konzultací s odborníky a vytvořit závěrečnou zprávu zprávy.</t>
  </si>
  <si>
    <t>The on-line sociological survey, that would include information form appropriate number of respondents  form selected sectors is completed. The data gathered would enable subsequent steps consisting of consultation with proffesionals and creation of the final report.</t>
  </si>
  <si>
    <t>Zdroj dat: Průzkum dostupných zdrojů o dané problematice a hloubkové rozhovory s experty určí rozsah zkoumaných oblastí a podobu otázek. / Metodika: Výzkum bude založen na standardní metodologii sociálních věd s užitím inovativních postupů tam, kde to bude vhodné.</t>
  </si>
  <si>
    <t>Data source: Desk-based research of available resources and in-depth expert interviews will determine the scope of surveyed sectors and the nature of questions. / Methodology: Standard social sciences methodology with the use of innovative procedures where appropriate.</t>
  </si>
  <si>
    <t>Standardizovaný on-line dotazník bude poslán tzv. "insiderům", což jsou respondenti, kteří jsou se situací ve svém sektoru dobře obeznámeni a u kterých je předpoklad, že mají s korupcí ve svém sektoru přímou či zprostředkovanou zkušenost. Budou to například státní zaměstnanci, lékaři, ředitelé škol, zástupci soukromých firem atd . Respondenti budou získání pomocí doporučení expertů a následně metodou sněhové koule, cílíme na zapojení minimálně 100 insiderů za každý sektor (celkem
 cca 1000 respondentů).</t>
  </si>
  <si>
    <t>A standardized on-line questionnaire sill be sent to so called "insiders", i.e. to those persons that are well acquainted with the situation in their respective sector and where there is an assumption that they have either direct or indirect experience with corruption in this secotr. The respondents will be for example civil servants, doctors, school directors, private firm representatives etc. The respondents will be recruited on the basis of expert recommendations and the on the basis of snow-ball teechnique with the target of at minimum 100 insiders for each sector (in total approx. 1000 repsondents).</t>
  </si>
  <si>
    <t>V některých sektorech nemusí být možné z různých důvodů  informace o korupci získat (např. bude k dispozici málo expertů, málo tzv. „insiderů“, experti nebudou motivováni k rozhovorům, v rámci dotazníků bude nízká míra návratnosti nebo se nepodaří získat spolehlivé informace).</t>
  </si>
  <si>
    <t>In some sectors it may not be possible to obtain the information on corruption (e.g. too few experts are available, the experts are not motivated to provide an interview, there can be a small return rate of the survey or reliable information cannot be obtained).</t>
  </si>
  <si>
    <t>Datový soubor</t>
  </si>
  <si>
    <t>Dataset</t>
  </si>
  <si>
    <t>Target 1: Vytvoření závěrečné zprávy s výsledky výzkumu a s doporučeními</t>
  </si>
  <si>
    <t>Target 1: Creation of final report with results an recommendations</t>
  </si>
  <si>
    <t>závěrečná zpráva</t>
  </si>
  <si>
    <t>final report</t>
  </si>
  <si>
    <t>4Q 2026</t>
  </si>
  <si>
    <t>Zdroj dat: Výstupy z milníku 1.</t>
  </si>
  <si>
    <t>Data source: Outcomes form the milestone 1.</t>
  </si>
  <si>
    <t>Závěrečná zpráva bude obsahovat analýzu výsledků výzkumu přímé a nepřímé zkušenosti s korupcí v různých sektorech České republiky a dále metodiku měření korupce. Výsledky budou využitelné pro další státní úřady a jejich snahu o snížení korupce v jejich sektorech.</t>
  </si>
  <si>
    <t>The final report is going to encompass the analysis of dirext and indirect experience with corruption in various sectors of the Czech Republic and also the methodology on measuring the corruption. The results will be usable for othe state authorities and for their efforts on reducing corruption in their respective sectors</t>
  </si>
  <si>
    <t>Předpokladem pro vznik závěrečné zprávy je úspěšné uskutečnění on-line sociologického výzkumu.</t>
  </si>
  <si>
    <t>Succesful on-line sociological survey is a prerequisite for the creation of the final report.</t>
  </si>
  <si>
    <t>Závěrečná zpráva</t>
  </si>
  <si>
    <t>Final report</t>
  </si>
  <si>
    <t>5.1 Excelentní výzkum a vývoj v prioritních oblastech veřejného zájmu ve zdravotnictví</t>
  </si>
  <si>
    <t xml:space="preserve">1.1 Systémová podpora VaVaI pro prioritní oblasti lékařských věd a související společenskovědní disciplíny </t>
  </si>
  <si>
    <t>1.1. State systemic support of excellent R&amp;D in Health Care priorities and related Social Sciences &amp; Humanities</t>
  </si>
  <si>
    <t xml:space="preserve">Milník 1: Nový program podpory VaVaI a dosažení konsensu s jeho principy a podmínkami, vyhlášení veřejné soutěže ve VaVaI pro nový program VaVaI </t>
  </si>
  <si>
    <t xml:space="preserve">Milestone 1: general consensus with the programme,  public tender in R&amp;D for the new R&amp;D programme </t>
  </si>
  <si>
    <t>schválení programu vládou ČR a vyhlášení veřejné soutěže ve VaVaI pro nový program VaVaI</t>
  </si>
  <si>
    <t>programme approved by government and R&amp;D public tender announcement for the new R&amp;D programme</t>
  </si>
  <si>
    <t>Q4/2021</t>
  </si>
  <si>
    <t>veřejně dostupný informační systém vlády ČR - EKLEP,  zápisy RVVI /vnitřní a vnější připomínková řízení; veřejně dostupný národní informační systém VaVaI, "IS VaVaI"/ metodika dle zák. č. 130/2002 Sb.</t>
  </si>
  <si>
    <t>public information governmental systems "EKLEP", governmental websites/  internal and external governmental objection procedures, R&amp;D public information governmental systems "ISVaVaI" / methodology given by the national Act No. 130/2002 Sb.</t>
  </si>
  <si>
    <t>Tvorba nového systémového programového nástroje na podporu excelentního VaV v prioritních lékařských vědách a souvisejících společenskovědních disciplánách,  podle Zák. č. 130/2002 Sb. a nařízení Komise č. 651/2014 (GBER), projednání se všemi stakeholdery a  v interním i meziresortním připomínkovém řízení, konzultace se zástupci akademické i aplikační sféry a vysokých škol v RVVI, prověření absorpční kapacity. Zpracování a schválení zadávací dokumentace,  vyhlášení veřejné soutěže ve VaVaI pro program VaVaI  podle zák. č. 130/2002 Sb.</t>
  </si>
  <si>
    <t xml:space="preserve">Setting a new state systemic support of excellent R&amp;D in Health Care priorities and in related Social Sciences &amp; Humanities, A programme supporting R&amp;D projecs focused on excellent R&amp;D in Health Care priorities and related Social Sciences &amp; Humanities based on the national Act No. 13/2002 and The Commission Reg. (EU) No 651/2014 (GBER) and on the public tender, stakeholder´s agreement on the draft of the programme, internal and external/inter-ministerial consultaion procedure; consultation procerures within academics, universities and privat sectors; screening of absorpcion capacity.Setting the support conditions for the R&amp;D programme  and making the call of the R&amp;D public tender for project proposals. </t>
  </si>
  <si>
    <t xml:space="preserve">konsensus s programem v akademické sféře, zajištěné finanční prostředky a dostatečné personální kapacity pro realizaci programu, </t>
  </si>
  <si>
    <t>general consensus to the programme in academic and stakeholders areas, acceptable  financial and personal capacities for programme governance, existence of relevant and excellent project proposals for R&amp;D public tender and sufficient budget allocation</t>
  </si>
  <si>
    <t xml:space="preserve">ex-ante evaluace programu, IS VaVaI analýza spolupráce, bibliometrická analýza zaměřená na prioritní obory / metodika dle zák. č. 130/2002 , IS VaVaI dle zákon 130/2020 Sb. </t>
  </si>
  <si>
    <t>ex-ante programme evaluaion, IS VaVaI analysis of R&amp;D cooperations, bibliometric analysis / metodology given by the CZ Act for R&amp;D support No. 130/2002, publicly open state information systém "ISVaVaI" by the national Act No. 130/2002.</t>
  </si>
  <si>
    <t>Cíl 1: Poskytnutí systémové podpory prioritních oblastí lékařských věd a souvisejících společenskovědní disciplín</t>
  </si>
  <si>
    <t>Target 1: State systemic support of excellent R&amp;D in Health Care priorities and in related Social Sciences &amp; Humanities</t>
  </si>
  <si>
    <t>sjednání a podepsání smluv na řešení projektů a poskytnutí podpory</t>
  </si>
  <si>
    <t>signing of project contratcs and granting of the state aid</t>
  </si>
  <si>
    <t>program podpory VaVaI/uzavřená smlouva na řešení projektů prohramu</t>
  </si>
  <si>
    <t>R&amp;D programme/signed project contract</t>
  </si>
  <si>
    <t>0/0</t>
  </si>
  <si>
    <t xml:space="preserve"> 1 / 4</t>
  </si>
  <si>
    <t>Q1/2022</t>
  </si>
  <si>
    <t>veřejně dostupný, národní informační systém VaVaI, "IS VaVaI", webové stránky poskytovatele / metodika dle zák. č. 130/2002 Sb.</t>
  </si>
  <si>
    <t>Public Information R&amp;D Systém of The Czech Republic (ISVaVaI)/ metodology given by the CZ Act for R&amp;D support No. 130/2002.</t>
  </si>
  <si>
    <t xml:space="preserve">Vyhlášení výsledků veřejné soutěže a uzavření smluv na poskytnutí podpory na řešení úspěšných projektůyhlášení výsledků veřejné soutěže a uzavření smluv na poskytnutí podpory na řešení úspěšných projektůyhlášení výsledků veřejné soutěže a uzavření smluv na poskytnutí podpory na řešení úspěšných projektů. Na základě výsledků veřejné soutěže progam podpoří nejméně 4 konsorciální projekty zahrnující spolupráci relevantních universit, veřejných výzkumných institucí a dalších veřejných i soukromých subjektů zajiťujících potřebný transfer znalostí. Uzavření smluv a poskytnutí podpory na řešení úspěšných projektů. </t>
  </si>
  <si>
    <t xml:space="preserve">Official announcing the results of the R&amp;D public tender. The programme will support the least 4 consorcial projects - the winners of R&amp;D public tender, including coopretaion within relevant universities, public research institutions and other public and private subjects for knowledge transfer. Contract conclusion for successful project proposals and granting of state aid. </t>
  </si>
  <si>
    <t>dostatečná absorpční kapacita stakeholderů, konsensus s programem v akademické sféře, zajištěné finanční prostředky a dostatečné personální kapacity pro realizaci programu, dostatek relevantních projektů</t>
  </si>
  <si>
    <t>sufficient stakeholder´s absorption capacities, general consensus to the programme in academic and stakeholders areas, acceptable  financial and personal capacities for programme governance, sufficiency of relevant project proposals</t>
  </si>
  <si>
    <t>zákon 130/2020 Sb. a IS VaVaI</t>
  </si>
  <si>
    <t>national Act No. 130/2002, ISVaVaI</t>
  </si>
  <si>
    <t>Milník 2: kontrola I. etapy realizace systémové podpory v konsorciálních projektech nových instititů pro prioritní oblasti lékařských věd a související společenskovědní disciplíny</t>
  </si>
  <si>
    <t>Milestone 2 : annual control and monitoring procedures of the I. stage of the Implementaion of the state systemic support in R&amp;D consortial projects of the new institutes providing excellent R&amp;D in Health Care priorities and in related Social Sciences &amp; Humanities</t>
  </si>
  <si>
    <t xml:space="preserve">meziroční kontrola projektů, financování až na základě výsledkům monitoringu a hodnocení výstupů projektů a výsledků ve VaVaI </t>
  </si>
  <si>
    <t xml:space="preserve">annual monitoring a control project procedure, granting of the I. stage based on montoring and evaluation procedures of outcomes and projekct R&amp;D results   </t>
  </si>
  <si>
    <t>Q1/2023</t>
  </si>
  <si>
    <t>ISVaVaI, bibliometrické a patentové databáze, průběžné a závěrečné a finanční zprávy projektů / metodologie podle zák. č. 130/2002 Sb., bibliometrie, scientometrie, protokoly o výsledku kontroly</t>
  </si>
  <si>
    <t xml:space="preserve">Public Information R&amp;D Systém of The Czech Republic (ISVaVaI), bibliometric and patent databases, monitoring annual report and annual financial reports/ metodology given by the CZ Act for R&amp;D support No. 130/2002, bibliometrics, scientometrics, official inspection reports </t>
  </si>
  <si>
    <t>Meziroční kontrola řešení projektů a fungování 4 národních institutů;  meziročníhodnocení dosažených výsledků a čerpání nákladů podle zák. č.130/2002 Sb.</t>
  </si>
  <si>
    <t>Annual monitoring and control procedures of the project outcomes and R&amp;D results, annulal controls of the running the new institutes and their roles in the existing Czech R&amp;D system, checking of the cost eligibility, both based on the law (CZ Act for R&amp;D support No. 130/2002)</t>
  </si>
  <si>
    <t xml:space="preserve">dostatečná produkce mezinárodně konkurenceschopných výstupů  a výsledků ve VaVaI </t>
  </si>
  <si>
    <t>sufficient production of internationally competitive outcomes and R&amp;D results</t>
  </si>
  <si>
    <t>ISVaVaI, bibliometrické a patentové databáze /metodika kontrol dle zák. č. 130/2002 a bibliometrické analýzy</t>
  </si>
  <si>
    <t>Public Information R&amp;D Systém of The Czech Republic (ISVaVaI), bibliometric and patent databases (WOS, Scopus, ERIH..)/ control metodology given by the CZ Act for R&amp;D support No. 130/2002 and bibliommetrics</t>
  </si>
  <si>
    <t>Milník 3: peer review evaluace a kontrola a  II. etapy realizace systémové podpory v konsorciálních projektech nových instititů pro prioritní oblasti lékařských věd a související společenskovědní disciplíny</t>
  </si>
  <si>
    <t>Milestone 3: mid-term peer review evaluation and annual control and monitoring procedures of the II. stage of the Implementaion of the state systemic support in R&amp;D consortial projects of the new institutes providing excellent R&amp;D in Health Care priorities and in related Social Sciences &amp; Humanities</t>
  </si>
  <si>
    <t xml:space="preserve">peer review evaluace a pravidelná meziroční kontrola projektů, financování až na základě výsledkům monitoringu a hodnocení výstupů projektů a výsledků ve VaVaI </t>
  </si>
  <si>
    <t xml:space="preserve">mid.term peer review evaluation and annual monitoring a control project procedure, granting of the II. stage based on montoring and evaluation procedures of outcomes and projekct R&amp;D results   </t>
  </si>
  <si>
    <t>Q2/2024</t>
  </si>
  <si>
    <t>ISVaVaI, bibliometrické a patentové databáze, průběžné a závěrečné a finanční zprávy projektů / metodologie podle zák. č. 130/2002 Sb., bibliometrie, scientometrie, evaluační protokoly</t>
  </si>
  <si>
    <t xml:space="preserve">Public Information R&amp;D Systém of The Czech Republic (ISVaVaI), bibliometric and patent databases, monitoring annual report and annual financial reports/ metodology given by the CZ Act for R&amp;D support No. 130/2002, bibliometrics, scientometrics, official inspection and evaluation reports </t>
  </si>
  <si>
    <t>Peer review evaluace a kontrola věcného řešení projektů na místě,, pravidlená monitorovací meziroční kontrola řešení projektů a fungování 4 národních institutů;  meziroční hodnocení dosažených výsledků a čerpání nákladů podle zák. č.130/2002 Sb.</t>
  </si>
  <si>
    <t>Mid-term peer review evaluation and annual monitoring and control procedures of the project outcomes and R&amp;D results, annulal controls and mid-term inspections of the running the new institutes and their roles in the existing Czech R&amp;D system, checking of the cost eligibility, both based on the law (CZ Act for R&amp;D support No. 130/2002)</t>
  </si>
  <si>
    <t>Milník 4: kontrola III. etapy realizace systémové podpory v konsorciálních projektech nových instititů pro prioritní oblasti lékařských věd a související společenskovědní disciplíny</t>
  </si>
  <si>
    <t>Milestone 4 : annual control and monitoring procedures of the III. stage of the Implementaion of the state systemic support in R&amp;D consortial projects of the new institutes providing excellent R&amp;D in Health Care priorities and in related Social Sciences &amp; Humanities</t>
  </si>
  <si>
    <t xml:space="preserve">annual monitoring a control project procedure, granting of the III. stage based on montoring and evaluation procedures of outcomes and projekct R&amp;D results   </t>
  </si>
  <si>
    <t>Q1/2025</t>
  </si>
  <si>
    <t>Milník 5: kontrola finální etapy realizace systémové podpory v konsorciálních projektech nových instititů pro prioritní oblasti lékařských věd a související společenskovědní disciplíny</t>
  </si>
  <si>
    <t>Milestone 5: final evaluation of the Implementaion of the state systemic support in R&amp;D consortial projects of the new institutes providing excellent R&amp;D in Health Care priorities and in related Social Sciences &amp; Humanities</t>
  </si>
  <si>
    <t xml:space="preserve">závěrečná evaluace fungování institutů a hodnocení výstupů projektů a výsledků ve VaVaI </t>
  </si>
  <si>
    <t xml:space="preserve">final evaluation of running the new consortial R&amp;D institutes, final evaluation procedures of outcomes and R&amp;D result production   </t>
  </si>
  <si>
    <t>Q1/2026</t>
  </si>
  <si>
    <t>ISVaVaI, bibliometrické a patentové databáze, průběžné a závěrečné a finanční zprávy projektů / metodologie podle zák. č. 130/2002 Sb., bibliometrie, scientometrie, evaluační protokoly o výsledku kontroly</t>
  </si>
  <si>
    <t xml:space="preserve">Public Information R&amp;D Systém of The Czech Republic (ISVaVaI), bibliometric and patent databases, monitoring annual report and annual financial reports/ metodology given by the CZ Act for R&amp;D support No. 130/2002, bibliometrics, scientometrics, official inspection reports /evaluation protocols </t>
  </si>
  <si>
    <t>Meziroční kontrola a závěrečná evaluace řešení projektů a fungování 4 národních institutů;  závěrečné hodnocení dosažených výsledků a čerpání nákladů podle zák. č.130/2002 Sb.</t>
  </si>
  <si>
    <t>Annual monitoring and final evaluation procedures of the project outcomes and R&amp;D results, evaluation of the institutes establisment and playing roles in the existing Czech R&amp;D system, checking of the cost eligibility, both based on the law (CZ Act for R&amp;D support No. 130/2002)</t>
  </si>
  <si>
    <t xml:space="preserve">Cíl 2: Vznik národních vědeckých autorit v oblastí  výzkumu infekčních chorob, onkologie, metabolických poruch a kardiovaskulárních onemocnění a v oblasti výzkumu socioekonomických dopadů nemocí </t>
  </si>
  <si>
    <t xml:space="preserve">Target 2: Establishing of the national R&amp;D consortial authorities in the areas of infectious diseases research, cancer research, metabolic disorders and cardiovascular diseases research and disease´s socio-economic impact research  </t>
  </si>
  <si>
    <t xml:space="preserve">počet konsorciálních institutů/ počet nových výsledků VaVaI v přepočtu FTE výzkumného nebo akademického pracovníka </t>
  </si>
  <si>
    <t xml:space="preserve">number of projects (institutes) / number of new R&amp;D results per academic FTE </t>
  </si>
  <si>
    <t>4/5 per FTE pracovíků ve výzkumu</t>
  </si>
  <si>
    <t>4/5 per FTE in R&amp;D</t>
  </si>
  <si>
    <t>ISVaVaI, web stránky poskytovatele/metodika dle zák. č. 130/2002</t>
  </si>
  <si>
    <t>Implementace nového systémového programového nástroje na podporu excelentního VaV v prioritních lékařských vědách a souvisejících společenskovědních disciplánách, podle Zák. č. 130/2002 Sb. a nařízení Komise č. 651/2014 (GBER). Na základě výsledků veřejné soutěže nový program VaVaI podpoří nejméně 4 konsorciální projekty zahrnující spolupráci relevantních universit, veřejných výzkumných institucí a dalších veřejných i soukromých subjektů zajiťujících potřebný transfer znalostí. Realizace projektů,  meziroční monitoring, kontroly a evaluace podle zák. č. 130/2002 Sb. Výsledkem projektů bude zřízení, vybudování a ověření fungování nejméně 4 národních institutů VaVaI, působícíh zejména v oblasti infekčních chorob, onkologie, metabolických a kardiovaskulárních onemocněn a v oblasti výzkumu socioekonomických dopadů nemocí, jakožto národních výzkumných autorit generující relevantní R&amp;D výsledky a strategie ve specifických prioritních oblastech</t>
  </si>
  <si>
    <t xml:space="preserve">Implementation of the new state systemic support of excellent R&amp;D in Health Care priorities and in related Social Sciences &amp; Humanities; a new programme supporting R&amp;D projecs focused on excellent R&amp;D in Health Care priorities and related Social Sciences &amp; Humanities  based on the national Act No. 13/2002 and The Commission Reg. (EU) No 651/2014 (GBER) and on the public tender.  The new R&amp;D programme will support the least 4 consorcial projects including coopretaion within relevant universities, public research institutions and other public and private subjects for knowledge transfer; implementation of granting projects; annual monitoring and evaluation of project outcomes and R&amp;D results following the mechanism given by the national Act No. 130/2002. The main programme results are the establishing  the four new national consortila institutes, particularly for infectious diseases research, for cancer research, for metabolic disorders and cardiovascular diseases Research and for disease´s socio-economic impact research, producing the new knowledge in relevant R&amp;D results and strategies in specific priority areas and playing roles as the national scientific authorities.   </t>
  </si>
  <si>
    <t xml:space="preserve">dostatečná produkce, odpovídajících, excelentních a mezinárodně konkurenceschopných výstupů  a výsledků ve VaVaI </t>
  </si>
  <si>
    <t>sufficient production of relevant, excellent and internationally competitive outcomes and R&amp;D results</t>
  </si>
  <si>
    <t>ISVaVaI, bibliometrické a patentové databáze /metodika kontrol a hodnocení dle zák. č. 130/2002 a bibliometrické analýzy</t>
  </si>
  <si>
    <t>Public Information R&amp;D Systém of The Czech Republic (ISVaVaI), bibliometric and patent databases (WOS, Scopus, ERIH..)/ control and evaluation metodology given by the CZ Act for R&amp;D support No. 130/2002 and bibliommetrics</t>
  </si>
  <si>
    <t>5.2 Podpora výzkumu a vývoje v podnicích a zavádění inovací do podnikové praxe</t>
  </si>
  <si>
    <t>Reformy</t>
  </si>
  <si>
    <t>1. Řešení nových příležitostí a výzev prostřednictvím posilování výkonnosti českých podniků v oblasti VaVaI</t>
  </si>
  <si>
    <t>Spolupráce s VO - VO jako další účastník projektu</t>
  </si>
  <si>
    <t>počet účastí</t>
  </si>
  <si>
    <t>Informační systém výzkumu, vývoje a inovací, průběžný monitoring programu podpory, informační systém poskytovatele</t>
  </si>
  <si>
    <t xml:space="preserve">Počet příjemců podpory - dalších účastníků projektu splňujících definici organizace pro výzkum a šíření znalostí </t>
  </si>
  <si>
    <t>Předpokladem je vyhlašování veřejných soutěží na příjem projektů k podpoře a dostatečná absorpční kapacita, tedy počet kvalitních projektů připravených potenciálními příjemci ve spolupráci s VO. Rizikem je jejich nedostatek.</t>
  </si>
  <si>
    <t>Zavedené inovace</t>
  </si>
  <si>
    <t>Počet jednotlivých novací (postupu, produktu, organizace) zavedených do praxe jako výsledek podpořeného projektu.</t>
  </si>
  <si>
    <t>Předpokladem je podpora dostatečného počtu projektů. Rizikem je vysoká neúspěšnost projektů a nedosahování plánovaných výsledků.</t>
  </si>
  <si>
    <t>Dosažené výsledky aplikovaného výzkumu (prototyp, funkční vzorek, software, poloprovoz, ověřená technologie).</t>
  </si>
  <si>
    <t>Počet dosažených výsledků podpořených projektů v rámci investic 1,3,4,5</t>
  </si>
  <si>
    <t>Předpokladem je podpora dostatečného počtu projektů plánujících dosažení uvedených druhů výsledků. Rizikem je vysoká neúspěšnost projektů a nedosahování plánovaných výsledků.</t>
  </si>
  <si>
    <t>Dosažené výsledky aplikovaného výzkumu s právní či jinou ochranou (metodiky, patent, užitný vzor, průmyslový vzor).</t>
  </si>
  <si>
    <t>Počet dosažených výsledků podpořených projektů.</t>
  </si>
  <si>
    <t>Investice</t>
  </si>
  <si>
    <t>1.1 Podpora výzkumu a vývoje v podnicích podle RIS3 strategie</t>
  </si>
  <si>
    <t>Podprogram 1 programu TREND - veřejná soutěž na výběr projektů k podpoře na rok 2021</t>
  </si>
  <si>
    <t>4. Veřejnýá soutěž v programu TREND na výběr projektů k podpoře</t>
  </si>
  <si>
    <t>Vyhlášení soutěže</t>
  </si>
  <si>
    <t>Q2 2020</t>
  </si>
  <si>
    <t>Vyhlášení soutěže na výběr projektů k podpoře, které budou naplňovat podmínky programu a Plánu, a do kterých se přihlásí dostatečné množství kvalitních projektů z prioritních oblastí podpory naplňující indikátory Plánu. Potřebná alokace soutěže je 3000 mil. Kč.</t>
  </si>
  <si>
    <t>Předpokladem je dostatečná absorpční kapacita, tedy počet kvalitních projektů připravených potenciálními příjemci. Rizikem je jejich nedostatek. S ohledem na dosavadní zkušenosti je riziko minimální.</t>
  </si>
  <si>
    <t>Podprogram 1 programu TREND - veřejná soutěž na výběr projektů k podpoře na rok 2022</t>
  </si>
  <si>
    <t>Vyhlášení soutěže na výběr projektů k podpoře, které budou naplňovat podmínky programu a Plánu, a do kterých se přihlásí dostatečné množství kvalitních projektů z prioritních oblastí podpory naplňující indikátory Plánu. Plánovaná alokace soutěže je 2500 mil. Kč.</t>
  </si>
  <si>
    <t>Podprogram 1 programu TREND - veřejná soutěž na výběr projektů k podpoře na rok 2023</t>
  </si>
  <si>
    <t>Vyhlášení soutěže na výběr projektů k podpoře, které budou naplňovat podmínky programu a Plánu, a do kterých se přihlásí dostatečné množství kvalitních projektů z prioritních oblastí podpory naplňující indikátory Plánu. Plánovaná alokace soutěže je 2000 mil. Kč.</t>
  </si>
  <si>
    <t>Podprogram 2 programu TREND - veřejné soutěže na výběr projektů k podpoře na roky 2021/2022</t>
  </si>
  <si>
    <t>Vyhlášení dvou soutěží na výběr projektů k podpoře, které budou naplňovat podmínky programu a Plánu, a do kterých se přihlásí dostatečné množství kvalitních projektů z prioritních oblastí podpory naplňující indikátory Plánu. Plánovaná alokace soutěží je 500 mil. Kč.</t>
  </si>
  <si>
    <t>Podprogram 1 programu TREND - veřejná soutěž na výběr projektů k podpoře na rok 2021 - podpořené projekty</t>
  </si>
  <si>
    <t>Počet projektů vybraných ve veřejné soutěži k podpoře z veřejných prostředků, které uzavřou smlouvu o poskytnutí podpory.</t>
  </si>
  <si>
    <t>Veřejná soutěž již byla vyhlášena a vyhodnocena. V Q1/2021 budou uzavírány smlouvy o poskytnutí podpory, plánovaná alokace je 3000 mil. Kč.</t>
  </si>
  <si>
    <t>Podprogram 1 programu TREND - veřejná soutěž na výběr projektů k podpoře na rok 2022 - podpořené projekty</t>
  </si>
  <si>
    <t>Předpokladem je vyhlášení veřejné soutěže na příjem projektů k podpoře o plánované celkové alokaci 2500 mil. Kč a dostatečná absorpční kapacita, tedy počet kvalitních projektů připravených potenciálními příjemci. Rizikem je jejich nedostatek. S ohledem na dosavadní zkušenosti je riziko minimální.</t>
  </si>
  <si>
    <t>Podprogram 1 programu TREND - veřejná soutěž na výběr projektů k podpoře na rok 2023 - podpořené projekty</t>
  </si>
  <si>
    <t>Předpokladem je vyhlášení veřejné soutěže na příjem projektů k podpoře o plánované celkové alokaci 2000 mil. Kč a dostatečná absorpční kapacita, tedy počet kvalitních projektů připravených potenciálními příjemci. Rizikem je jejich nedostatek. S ohledem na dosavadní zkušenosti je riziko minimální.</t>
  </si>
  <si>
    <t>Podprogram 2 programu TREND - veřejné soutěže na výběr projektů k podpoře na roky 2021/2022  - podpořené projekty</t>
  </si>
  <si>
    <t>Předpokladem je vyhlaášení dvou veřejných soutěží na příjem projektů k podpoře o celkové alokaci 500 mil. Kč a dostatečná absorpční kapacita, tedy počet kvalitních projektů připravených potenciálními příjemci. Rizikem je jejich nedostatek. S ohledem na dosavadní zkušenosti je riziko minimální.</t>
  </si>
  <si>
    <t>Příjemci podpory - MSP</t>
  </si>
  <si>
    <t>Počet příjemců podpory, kteří splňují definici malého a středního podniku.</t>
  </si>
  <si>
    <t>Předpokladem je vyhlašování veřejných soutěží na příjem projektů k podpoře a dostatečná absorpční kapacita, tedy počet kvalitních projektů připravených potenciálními příjemci (MSP). Rizikem je jejich nedostatek.</t>
  </si>
  <si>
    <t>Příjemci podpory - velké podniky</t>
  </si>
  <si>
    <t>Počet příjemců podpory (podniků), kteří nesplňují definici malého a středního podniku.</t>
  </si>
  <si>
    <t>Předpokladem je vyhlašování veřejných soutěží na příjem projektů k podpoře a dostatečná absorpční kapacita, tedy počet kvalitních projektů připravených potenciálními příjemci. Rizikem je jejich nedostatek.</t>
  </si>
  <si>
    <t>Příjemci podpory -nováčci ve VaV</t>
  </si>
  <si>
    <t>Počet příjemců podpory (podniků), kteří splňují definici příjemce v programu, tedy dosud nečerpali na podporu VaVaI prostředky nad daný limit.</t>
  </si>
  <si>
    <t>Dosažené výsledky s právní ochranou (patent, užitný vzor, průmyslový vzor).</t>
  </si>
  <si>
    <t>1.2 Podpora zavádění inovací do podnikové praxe</t>
  </si>
  <si>
    <t>Vyhlášené soutěže na výběr projektů k podpoře</t>
  </si>
  <si>
    <t>Vyhlášení soutěží na výběr projektů k podpoře, které budou naplňovat podmínky programu a Plánu, a do kterých se přihlásí dostatečné množství kvalitních projektů z prioritních oblastí podpory naplňující indikátory Plánu. Jednotlivé soutěže jsou vyhlašovány v letech 2020 - 2022.</t>
  </si>
  <si>
    <t>Předpokladem je dostatečná absorpční kapacita, tedy počet kvalitních projektů připravených potenciálními příjemci. Rizikem je jejich nedostatek. S ohledem na dosavadní zkušenosti je riziko střední, jde o program v rámci ČR nový, poskytovatel však realizuje komunikační a vysvětlovací kamapaň jak pro potenciální příjemce, tak obecněji pro hospodářské partnery.</t>
  </si>
  <si>
    <t>Podpořené projekty</t>
  </si>
  <si>
    <t>1.3 Podpora spolupráce v oblasti výzkumu a vývoje (v souladu s RIS3 strategií)</t>
  </si>
  <si>
    <t>Předpokladem je vyhlášení veřejné soutěže na příjem projektů k podpoře a dostatečná absorpční kapacita, tedy počet kvalitních projektů připravených potenciálními příjemci. Rizikem je jejich nedostatek a nedostatečné množství spolupracujících subjektů ochotných ke spolupráci.</t>
  </si>
  <si>
    <t>Příjemci podpory -MSP</t>
  </si>
  <si>
    <t>1.4 Podpora výzkumu a vývoje v oblasti životního prostředí</t>
  </si>
  <si>
    <t>1.5 Podpora výzkumu a vývoje v oblasti dopravy</t>
  </si>
  <si>
    <t>Předpokladem je vyhlášení veřejné soutěže na příjem projektů k podpoře a dostatečná absorpční kapacita, tedy počet kvalitních projektů připravených potenciálními příjemci. Rizikem je jejich nedostatek a nedostatečné množství spolupracujících subjektů ochotných ke spolupráci</t>
  </si>
  <si>
    <t>1.6 Podpora výzkumu a vývoje v synergických efektech s rámcovým programem pro výzkum a inovace</t>
  </si>
  <si>
    <t>Q3 2025</t>
  </si>
  <si>
    <t>Počet projektů vybraných v mezinárodní výzvě co-funded partnerství v rámci rámcového programu pro výzkum a inovace anebo projektů, které v rámcovém programu pro výzkum a inovace (v rámci Evropské inovační rady) obdržely pečeť excelence (Seal of Excellence) a které uzavřou smlouvu o poskytnutí podpory.</t>
  </si>
  <si>
    <t>Předpokladem je zapojení do mezinárodního konsorcia poskytovatelů v rámcovém programu pro výzkum a inovace a vyhlášení veřejné soutěže na příjem projektů k podpoře, dále dostatečná absorpční kapacita, tedy počet kvalitních projektů připravených potenciálními příjemci. Rizikem je jejich nedostatek a nedostatečné množství spolupracujících subjektů ochotných k mezinárodní spolupráci a dále ochota dalších poskytovatelů k uznání specifických podmínek v rámci ČR (nastavení programu apod.). Dalším rizikem je nedostatečný počet kvalitních projektů, které budou mezinárodním hodnocením doporučeny k financování.</t>
  </si>
  <si>
    <t>6.1 Zvýšení odolnosti systému zdravotní péče</t>
  </si>
  <si>
    <t>1.1. Vznik simulačního centra intenzivní medicíny včetně optimalizace systému vzdělávání</t>
  </si>
  <si>
    <t>Právní akt o poskytnutí dotace/účelové podpory</t>
  </si>
  <si>
    <t>3Q 2021</t>
  </si>
  <si>
    <t>Dokončení stavebních/rekonstrukčních prací</t>
  </si>
  <si>
    <t>2Q2025</t>
  </si>
  <si>
    <t>Zprovozněné centrum včetně přístrojového vybavení</t>
  </si>
  <si>
    <t>2Q2026</t>
  </si>
  <si>
    <t>1.2 Rozvojové investice resortu zdravotnictví v oblasti nejmodernější péče  </t>
  </si>
  <si>
    <t>1.3 Zvýšení dostupnosti a rozvoj komplexní rehabilitační péče pro pacienty po kritických stavech</t>
  </si>
  <si>
    <t>Právní akty o poskytnutí dotace/účelové podpory</t>
  </si>
  <si>
    <t>Podpořená pracoviště zdravotní (rehabilitační) péče</t>
  </si>
  <si>
    <t>Později</t>
  </si>
  <si>
    <t xml:space="preserve"> 6.2 Prevence onkologických onemocnění</t>
  </si>
  <si>
    <t>1.1. Vybudování Českého onkologického institutu</t>
  </si>
  <si>
    <t>1.2. Podpora a zvyšování kvality preventivních screeningových programů</t>
  </si>
  <si>
    <t>Realizace  vhodných programů časného záchytu onemocnění</t>
  </si>
  <si>
    <t>1.3. Rozvoj vysoce specializované hematoonkologické a onkologické péče</t>
  </si>
  <si>
    <t>3Q2021</t>
  </si>
  <si>
    <t>Podpořená pracoviště zdravotní péče</t>
  </si>
  <si>
    <t>4Q2025</t>
  </si>
  <si>
    <t>1.4 Vznik a rozvoj pilotního centra onkologické prevence</t>
  </si>
  <si>
    <t>4Q2024</t>
  </si>
  <si>
    <t>4.2 Podpora investic v průmyslu a podnikání</t>
  </si>
  <si>
    <t>4.3 Protikorupční reformy</t>
  </si>
  <si>
    <t xml:space="preserve">1.3.1 Zlepšit prostředí pro budování sítí elektronických komunikací </t>
  </si>
  <si>
    <t>1.3.2 Podpora rozvoje ekosystému sítí 5G</t>
  </si>
  <si>
    <t>1.3.3 Vybudování vysokokapacitnícho přípojení</t>
  </si>
  <si>
    <t xml:space="preserve">1.3.4 Dokrytí 5G koridorů a podpora rozvoje sítí 5G </t>
  </si>
  <si>
    <t>1.1. Výstavba nových fotovoltaických zdrojů</t>
  </si>
  <si>
    <t>1.2. Modernizace distribuce tepla v rámci soustav zásobování teplem</t>
  </si>
  <si>
    <t xml:space="preserve">1. Program pro přípravu projektů regenerace brownfieldů2. Investiční podpora regenerace specifických brownfieldů </t>
  </si>
  <si>
    <t>1. Support for project preparation of brownfield regeneration projects2. Investment support for regeneration of specific brownfield sites</t>
  </si>
  <si>
    <t xml:space="preserve">3. Investiční podpora regenerace brownfieldů ve vlastnictví obcí a krajů pro nepodnikatelské využití 4. Investiční podpora regenerace brownfieldů ve vlastnictví obcí a krajů pro podnikatelské využití </t>
  </si>
  <si>
    <t>3. Investment support for the regeneration of brownfields in public ownership for non-business use4. Investment support for the regeneration of brownfields in public ownership for business use</t>
  </si>
  <si>
    <t xml:space="preserve">3. Investiční podpora regenerace brownfieldů ve vlastnictví obcí a krajů pro nepodnikatelské využití </t>
  </si>
  <si>
    <t>2. Analyticko - metodická podpora</t>
  </si>
  <si>
    <t>2. Metodical and coordiantion support for project preparation</t>
  </si>
  <si>
    <t xml:space="preserve">1. Support for project preparation </t>
  </si>
  <si>
    <t>Table 3. Estimated cost of the plan</t>
  </si>
  <si>
    <t>Komponenta (název)</t>
  </si>
  <si>
    <t>Component (name)</t>
  </si>
  <si>
    <t>Investice/Reforma (krátký popis nebo křížový odkaz)</t>
  </si>
  <si>
    <t>Investment/Reform (short description or cross-reference)</t>
  </si>
  <si>
    <t>Relevant time period</t>
  </si>
  <si>
    <t>Total estimated costs for which funding from the RRF is requested (mn/bn national currency, e.g. mn EUR)</t>
  </si>
  <si>
    <t>If available: Total estimated cost by year (mn/bn national currency/EUR)</t>
  </si>
  <si>
    <t>Funding from other sources (as requested by Art. 8 in the Regulation)</t>
  </si>
  <si>
    <t>Additionality and complementary funding: Support under the Recovery and Resilience Facility shall be additional to the support provided under other Union funds and programmes. Reform and investment projects may receive support from other Union programmes and instruments provided that such support does not cover the same cost.</t>
  </si>
  <si>
    <t>Kategorie COFOG úrovně II
/nebo typ příjmu (pokud je to relevantní, např. daňové výdaje)</t>
  </si>
  <si>
    <t>COFOG level 2 category / or type of revenue (if relevant, e.g. tax expenditure)</t>
  </si>
  <si>
    <t>from other EU programmes</t>
  </si>
  <si>
    <t>ze státního rozpočtu</t>
  </si>
  <si>
    <t>from the national budget</t>
  </si>
  <si>
    <t>jiné zdroje (upřesněte)</t>
  </si>
  <si>
    <t>Other sources (please specify)</t>
  </si>
  <si>
    <t>State aid</t>
  </si>
  <si>
    <t>Příjemce</t>
  </si>
  <si>
    <t>mn.bn nat. currency</t>
  </si>
  <si>
    <t>specify the EU programmes and breakdown by programme if relevant (e.g. regional operational programme)</t>
  </si>
  <si>
    <t xml:space="preserve">Please indicate which reforms and investments you might envisage that involve state aid but are not block-exempted/covered by de minimis. </t>
  </si>
  <si>
    <t>Please indicate if any of the envisaged reforms or investments involve State aid measures covered by an existing State aid authorisation.</t>
  </si>
  <si>
    <t xml:space="preserve">Please indicate reforms and investments involving aid State aid measures that are planned to be notified to the Commission for State aid clearance. Please clarify if any of the envisaged reforms or investments have already been notified or pre-notified to the Commission.  </t>
  </si>
  <si>
    <t xml:space="preserve">Uveďte, kdo je hlavním beneficientem podpory (podnikový sektor - uveďte odvětví dle klasifikace CZ-NACE, kraje, obce, stát, domácnosti, …). Pokud se vztahuje na širší okruh beneficientů, uveďte odhadem procentuální pokrytí. </t>
  </si>
  <si>
    <t xml:space="preserve">Uveďte, zda beneficientem jsou malé a střední podniky MSP (procentuální pokrytí v rámci alokace na investici/reformu). </t>
  </si>
  <si>
    <t xml:space="preserve">1.3 Digitální vysokorychlostní sítě </t>
  </si>
  <si>
    <t>2021-2023</t>
  </si>
  <si>
    <t>1,7 bn CZK</t>
  </si>
  <si>
    <t>04.6</t>
  </si>
  <si>
    <t>half no,        half yes</t>
  </si>
  <si>
    <t>Kraje, ČTÚ, BCO</t>
  </si>
  <si>
    <t>0.032  bn CZK</t>
  </si>
  <si>
    <t>no</t>
  </si>
  <si>
    <t>3,4 bn CZK</t>
  </si>
  <si>
    <t>OP TAC (ERDF)     
5 bn CZK</t>
  </si>
  <si>
    <t>1 bn CZK (national coofinancing to RRF) +  1,6 bn CZK (national coofinancing TAC) 
private investments</t>
  </si>
  <si>
    <t>Notifikace je připravována na rok 2021</t>
  </si>
  <si>
    <t>Podnikatelé v elektronických komunikacích, zřizovatelé socioekonomických aktérů, socioekonomičtí aktéři</t>
  </si>
  <si>
    <t>VP 80 %
MSP 20 %</t>
  </si>
  <si>
    <t>0,973 bn CZK</t>
  </si>
  <si>
    <t>Plánuje se, že notifikace bude zahájen v léte 2021.</t>
  </si>
  <si>
    <t> Mobilní operátoři + opravářenské firmy + MPO</t>
  </si>
  <si>
    <t>Table 1. Green and digital impact</t>
  </si>
  <si>
    <t xml:space="preserve">Please indicate if 0%, 40% or 100% of the reform/investment contributes to the objective. For reforms/investments and the climate objective, Member States should use the methodology for climate tracking applied for cohesion policy funds, in particular as set out in Table 1, Table 4 and Table 6 of Annex I to [Common Provision Regulation COM(2018) 375] and justify their choice, in particular for reforms. For reforms/investments and environmental objectives, they are invited to follow the same methodology. In both cases, please indicate the relevant intervention field for every reform/investment by choosing the most appropriate one. If several ones can be applied, the Member State should motivate why they choose the selected one. For green objectives, Member States are invited to indicate that the do not significant harm (DNSH) principle is respected defined in Regulation 2020/852 (Taxonomy Regulation).
</t>
  </si>
  <si>
    <t>Pilíř</t>
  </si>
  <si>
    <t>Pillar</t>
  </si>
  <si>
    <t>Komponenta</t>
  </si>
  <si>
    <t>Component</t>
  </si>
  <si>
    <t>Reforma/investice</t>
  </si>
  <si>
    <t>Reform/Investment</t>
  </si>
  <si>
    <t>Green objectives</t>
  </si>
  <si>
    <t>Digital objectives</t>
  </si>
  <si>
    <t>Transition challenges</t>
  </si>
  <si>
    <t>Climate</t>
  </si>
  <si>
    <t>Environmental</t>
  </si>
  <si>
    <t>Dimenze oblasti intervence</t>
  </si>
  <si>
    <t xml:space="preserve">Intervention field </t>
  </si>
  <si>
    <t>DNSH</t>
  </si>
  <si>
    <t>Zelené</t>
  </si>
  <si>
    <t>Green</t>
  </si>
  <si>
    <t>Digitální</t>
  </si>
  <si>
    <t>Digital</t>
  </si>
  <si>
    <t>Tag</t>
  </si>
  <si>
    <t>1. Digitální transformace</t>
  </si>
  <si>
    <t>053</t>
  </si>
  <si>
    <t>ne</t>
  </si>
  <si>
    <t>054</t>
  </si>
  <si>
    <t>051 (30%),  
053 (35%), 
054a (35%)</t>
  </si>
  <si>
    <t>070, 054</t>
  </si>
  <si>
    <t>Financování z jiných zdrojů (jak požaduje článek 8 Nařízení)</t>
  </si>
  <si>
    <t>upřesněte programy EU a případně rozdělení podle programů (např. regionální operační program)</t>
  </si>
  <si>
    <t>2021-2025</t>
  </si>
  <si>
    <t>Financování personálních a souvisejících nákladů.</t>
  </si>
  <si>
    <t>R&amp;D general public services &amp; General public services n.e.c.</t>
  </si>
  <si>
    <t>2022-2024</t>
  </si>
  <si>
    <t>Horizon Europe - Seal of Excellence</t>
  </si>
  <si>
    <t>Financování VVI</t>
  </si>
  <si>
    <t>OP JAK, Horizon Europe, DEP</t>
  </si>
  <si>
    <t>CEF Telecom - kofinancování projektu</t>
  </si>
  <si>
    <t>Financování případných dalších výstupů nad rámec projektu z DČ/DES</t>
  </si>
  <si>
    <t>Navazující/podkladový výzkum financován ze zdrojů financování výzkumu na základě standardních grantových procesů.</t>
  </si>
  <si>
    <t>Žádné</t>
  </si>
  <si>
    <t>Akademické instituce</t>
  </si>
  <si>
    <t>Ne</t>
  </si>
  <si>
    <t>2021-2024</t>
  </si>
  <si>
    <t>Následné financování provozu kombinací veřejných a soukromých zdrojů, vč. Případného financování výzkumu</t>
  </si>
  <si>
    <t>Akademické insttuce</t>
  </si>
  <si>
    <t>Následné financování bude zajištěno kombnací soukromých a veřejných zdrojů</t>
  </si>
  <si>
    <t>Konsorcia podnikatelských svazů a akademické sféry</t>
  </si>
  <si>
    <t>Ano - 100%</t>
  </si>
  <si>
    <t>Program Digitální Evropa - kofinancování projektu</t>
  </si>
  <si>
    <t>Digitální Česko - Digitální ekonomika a společnost</t>
  </si>
  <si>
    <t>Následné financování provozu z vnitřních zdrojů, DEP/RRF financuje vznik platformy a vývoj aplikace.</t>
  </si>
  <si>
    <t>Konsorcium implementujících licencovaných subjektů</t>
  </si>
  <si>
    <t>55.6</t>
  </si>
  <si>
    <t>Rozpočet měst a soukromých institucí/firem.</t>
  </si>
  <si>
    <t>Ano</t>
  </si>
  <si>
    <t>2020-2022</t>
  </si>
  <si>
    <t>Financování programu Czech Rise Up ve výši 200 mil. Kč ze státního rozpočtu.</t>
  </si>
  <si>
    <t>Startupy a scale-upy</t>
  </si>
  <si>
    <t>OP PIK/OP TAK</t>
  </si>
  <si>
    <t>ESIF</t>
  </si>
  <si>
    <t>soukromé investice</t>
  </si>
  <si>
    <t>private investment</t>
  </si>
  <si>
    <t>starting companies</t>
  </si>
  <si>
    <t>začínající podnikatelé</t>
  </si>
  <si>
    <t>2021-2022</t>
  </si>
  <si>
    <t>Případná účast EIF, popříp. Financování následných projektů z ESIF</t>
  </si>
  <si>
    <t>V jednání koinvestice EIF v oblasti transferu technologií.</t>
  </si>
  <si>
    <t>Program Country for the Future, Pillar I</t>
  </si>
  <si>
    <t>YES</t>
  </si>
  <si>
    <t>SME (Startups and scale-ups</t>
  </si>
  <si>
    <t>CEF Telecom</t>
  </si>
  <si>
    <t>Participace a financování provozu ze zdrojů soukromých subjektů a vnitřních zdrojů projektů.</t>
  </si>
  <si>
    <t>Ano - tbc</t>
  </si>
  <si>
    <t>Navazuje na podporu strategických technologií</t>
  </si>
  <si>
    <t>Certifikační autority</t>
  </si>
  <si>
    <t>tbd</t>
  </si>
  <si>
    <t>Programy Digitální Evropa/Horizont - kofinancování projektu</t>
  </si>
  <si>
    <t>Navazuje na VVI aktivity v oblasti quantum computing.</t>
  </si>
  <si>
    <t>Akademické a výzkumné instituce</t>
  </si>
  <si>
    <t>Projekt navazuje na projekt podpořený v rámci OP VVV, kterým byl výzkumný projekt zaměřený na vybudování experimentální základny pro stavbu celoživotního monitorovacího systému motoru letadla. Vzhledem k již vybudované (v procesu) základně je dodatečná investice vysokou hodnotou za peníze.</t>
  </si>
  <si>
    <t xml:space="preserve">Zálohováno již z NFV ve výši 457 mil. Kč a předpokládá se další předfinancování ve výši 743 mil. Kč na realizaci  doplněné části projektu, který má cíl zvýšit účinek předchozí investice. </t>
  </si>
  <si>
    <t>Příspěvek kolaborativního partnera na základě kolaborativní smlouvy ve výši 100 mil. Kč. A dále je nutné uvést, že smluvní partner spolupráci podpořil znalostní bází jejíž hodnota je odhadnuta na 2,9 mld. Kč</t>
  </si>
  <si>
    <t>Průmysl a výzkumné organizace na základě kolaborativní smlouvy</t>
  </si>
  <si>
    <t>Plánuje se, že notifikace bude zahájena v létě (po mapování)..</t>
  </si>
  <si>
    <t>10, 27</t>
  </si>
  <si>
    <t>2. Digitální transformace</t>
  </si>
  <si>
    <t>Po</t>
  </si>
  <si>
    <t>Út</t>
  </si>
  <si>
    <t>1.5 Digitální transformace podniků</t>
  </si>
  <si>
    <t>1. Vytvoření Platformy pro digitalizaci hospodářství</t>
  </si>
  <si>
    <t>50% celkových nákladů (nad rámec zmíněné částky)</t>
  </si>
  <si>
    <t>Pouze nároodní zdrojje</t>
  </si>
  <si>
    <t>100% nákladů</t>
  </si>
  <si>
    <t>Nikoli, Platforma vznikne dle zákona č. 218/2000 Sb., o rozpočtových pravidlech a o změně některých souvisejících zákonů</t>
  </si>
  <si>
    <t>1.1 Vytvoření infrastruktury pro digitální transformaci - Evropská a národní centra digitálních inovací (e/DIH)</t>
  </si>
  <si>
    <t>Digital Europe Programme</t>
  </si>
  <si>
    <t>50% celkových nákladů</t>
  </si>
  <si>
    <t>GBER 26 &amp; 27</t>
  </si>
  <si>
    <t>Málo digitálně vyspělé MSP</t>
  </si>
  <si>
    <t>MSP budou hlavním beneficientem, jelikož služby poskytované EDIH budou zdarma. 100 %</t>
  </si>
  <si>
    <t xml:space="preserve">1.2. Vytvoření infrastruktury pro digitální transformaci - Evropská referenční testovací centra </t>
  </si>
  <si>
    <t>2020-2023</t>
  </si>
  <si>
    <t>Případný požadavek na kofinancování ze strany příjemce</t>
  </si>
  <si>
    <t>Soukromá a akademická sféra</t>
  </si>
  <si>
    <t>MSP budou moci využívat služeb TEF - 50%</t>
  </si>
  <si>
    <t>1.3. Programy přímé podpory digitální transformace podniků</t>
  </si>
  <si>
    <t>ERDF, pokud to bude umožněno</t>
  </si>
  <si>
    <t>Ano, 100%</t>
  </si>
  <si>
    <t>Yes</t>
  </si>
  <si>
    <t xml:space="preserve">1.6 Rozvoj kulturního a kreativního sektoru </t>
  </si>
  <si>
    <t>Broadcasting and publishing services.</t>
  </si>
  <si>
    <t>2 Rozvoj regionálnho kulturního a kreativního sektoru</t>
  </si>
  <si>
    <t>cultural services</t>
  </si>
  <si>
    <t>Economic affairs n.e.c.</t>
  </si>
  <si>
    <t>SME</t>
  </si>
  <si>
    <t>7 Podpora výzkumu a vývoje v oblasti sociálních a humanitních věd</t>
  </si>
  <si>
    <t>1.2. Digitální systémy státní správy</t>
  </si>
  <si>
    <t>Rezortní systém elektronické spisové služby</t>
  </si>
  <si>
    <t>Reinforcement of the capacity of Member State authorities, beneficiaries and relevant partners</t>
  </si>
  <si>
    <t>021a</t>
  </si>
  <si>
    <t>Minimální podpora game industry a VOD</t>
  </si>
  <si>
    <t>Protection, development and promotion of cultural heritage and cultural services</t>
  </si>
  <si>
    <t>Malá a nesystémová digitalizace KKS</t>
  </si>
  <si>
    <t>5 Zvyšování odbornosti a síťování v kulturním a kreativním sektoru</t>
  </si>
  <si>
    <t>Skills development for smart specialisation, industrial transition and entrepreneurship</t>
  </si>
  <si>
    <t>016</t>
  </si>
  <si>
    <t>108; 100</t>
  </si>
  <si>
    <t>Malé digitální dovednosti profesionálů v KKS</t>
  </si>
  <si>
    <t>Innovation processes in SMEs (process, organisational, marketing, co-creation, user and demand driven innovation)</t>
  </si>
  <si>
    <t>020</t>
  </si>
  <si>
    <t>017</t>
  </si>
  <si>
    <t>Malé využití kultruních a kreativních odvětví (CCIs) pro inovační procesy v SME</t>
  </si>
  <si>
    <t>009</t>
  </si>
  <si>
    <t>939 mil. Kč</t>
  </si>
  <si>
    <t>státní rozpočet, ESIF, IROP</t>
  </si>
  <si>
    <t>180 mil. Kč</t>
  </si>
  <si>
    <t>759 mil. Kč (Evropské strukturální fondy - Integrovaný regionální operační program)</t>
  </si>
  <si>
    <t>COFOG 04.4.3</t>
  </si>
  <si>
    <t>Not relevant</t>
  </si>
  <si>
    <t>podnikový sektor/domácnosti/kraje/stát/státní správa/ autorizované osoby</t>
  </si>
  <si>
    <t>2.  Vytvoření Agendového informačního systému</t>
  </si>
  <si>
    <t>2022-2023</t>
  </si>
  <si>
    <t>COFOG 04.1.1</t>
  </si>
  <si>
    <t>stát/kraje/obce</t>
  </si>
  <si>
    <t>COFOG 06.2.0</t>
  </si>
  <si>
    <t>stát/kraje</t>
  </si>
  <si>
    <t>2022-2025</t>
  </si>
  <si>
    <t>podnikový sektor/domácnosti/kraje/stát</t>
  </si>
  <si>
    <t xml:space="preserve">1. Zavedení rekodifikace stavebního práva do praxe </t>
  </si>
  <si>
    <t xml:space="preserve">108
</t>
  </si>
  <si>
    <t>not relevant</t>
  </si>
  <si>
    <t>Nová legislativa s sebou přinese zcela novou oganizační strukturu stavebních úřadů, zcela nové postupy při procesu stavebního řízení a zcela nové informační systémy. Za účelem řádného a klidného přechodu na nové okolnosti, bude potřeba:
- zajistit fungování nového Nejvyššího stavebního úřadu
- zajistit školení pro úředníky stavebních úřadů, úřadů územního plánování, projektantů a dalších pracovníků veřejné správy v souvislosti s novou legislativou a digitalizací příslušných agend</t>
  </si>
  <si>
    <t>Nový informační systém je určen pro úředníky stavebních úřadů. Jeho smyslem je elektronizace procesů stanovených v legislativě. Cílem je zjednodušit a zefektivnit komunikaci jak mezi stavebníkem a úřadem, ale i mezi jednotlivými úřady. V současné době takový systém, který by využívaly všchechny stavební úřady v ČR - neexistuje. Každý úřad má svůj systém. Dochází tak k neefektivnímu vynakládání veřejných prostředků, jelikož se za systémy se stejnou funkčností platí hned několikrát.</t>
  </si>
  <si>
    <t xml:space="preserve">V souvislosti s rozvojem digitálních technologií je třeba zajistit vytvoření datových standardů a nástrojů pro jejich správu a využívání v oblasti územně analytických podkladů. Investice umožní poskytování informačních služeb nad databází územně analytických podkladů. Tyto služby významně přispějí k zefektivnění výkonu agend ve vztahu ke stavebnímu řízení a územnímu plánování. </t>
  </si>
  <si>
    <t xml:space="preserve">V souvislosti s rozvojem digitálních technologií je třeba zajistit vytvoření datových standardů staveb a norem v oblasti stavebnictví. Investice umožní využívání dat z elektronických projektových dokumentací. Tyto služby významně přispějí k zefektivnění výkonu agend ve vztahu ke stavebnímu řízení a územnímu plánování. </t>
  </si>
  <si>
    <t>2020-2026</t>
  </si>
  <si>
    <t>06.6 - Housing and community amenities n.e.c.
05.6 - Environmental protection n.e.c.</t>
  </si>
  <si>
    <t>OSS</t>
  </si>
  <si>
    <t>2021-2026</t>
  </si>
  <si>
    <t>It is considered to use funding from the Modernization Fund since 2022, but its programming documentation is not settled yet</t>
  </si>
  <si>
    <t>06.4 - Street lighting</t>
  </si>
  <si>
    <t>de minimis</t>
  </si>
  <si>
    <t>obce</t>
  </si>
  <si>
    <t>Operational Programme Environment 176 mil. CZK (assumption 14 mld. Kč for 2021 - 2027)
Modernization Fund ?? ELENA</t>
  </si>
  <si>
    <t>In 2021 will run out support from Operational Programme Environment (ESI Fund)
It is considered to use funding from the Modernization Fund since 2022, but its programming documentation is not settled yet
(along with support for the feasilibity study from ELENA programme)</t>
  </si>
  <si>
    <t>New Green Savings 94,5 mil. CZK  EFEKT programme 90 mil. CZK</t>
  </si>
  <si>
    <t xml:space="preserve">combination with New Green Savings (state budget) whith Operational Programme Environment to increase amound of subsidy, ongoing support of education of public and preparation of a feasibility study from EFEKT programme (state budget) </t>
  </si>
  <si>
    <t xml:space="preserve">
Modernization Fund ??</t>
  </si>
  <si>
    <t>National Programme Enviromnet EFEKT programme 600 mil. CZK</t>
  </si>
  <si>
    <t>at the moment it is funded from the state budget from the EFEKT programme and National Programme Environment (public lighting in protected landscape area and national parks)</t>
  </si>
  <si>
    <t xml:space="preserve">2. Fyzická infrastruktura a zelená tranzice </t>
  </si>
  <si>
    <t>025bis</t>
  </si>
  <si>
    <t>vyplývá ze samotné metodiky k nařízení</t>
  </si>
  <si>
    <t>není relevantní</t>
  </si>
  <si>
    <t>026</t>
  </si>
  <si>
    <t>V období využitelnosti RRF se nepočítá s využitím programů EU. Po roce 2026 by měla podpora pokračovat skrze Operační program pro technologie a konkurenceschopnost (OPTAK).</t>
  </si>
  <si>
    <t>Ve stávajícím návrhu legislativy, která je v legislativním procesu, se nepočítá s provozní podporou výstavby FVE. Výstavby FVE by tedy neměla být financována ze státního rozpočtu.</t>
  </si>
  <si>
    <t>Fotovoltaické zdroje by měly být podporovány v rámci Modernizačního fondu, jedná se o prostředky z příjmů prodeje emisních povolenek (jedná se o FVE na plochách) a Nové zelené úsporám (jedná se o FVE v sektoru domácností). S veřejnou podporou FVE pro podnikatelský sektor na střechy z jiného programu se nepočítá.</t>
  </si>
  <si>
    <t>Podnikový sektor (není možné specifikovat převažující NACE).</t>
  </si>
  <si>
    <t>Počítá se, že MSP budou jedním z beneficientů (z posledních obdobných výzev vyplývá podíl MSP cca na úrovni 50%).</t>
  </si>
  <si>
    <t>Nepočítá se s využitím programů EU.</t>
  </si>
  <si>
    <t>Ve stávajícím návrhu legislativy, která je v legislativním procesu, je navržena podpora kombinované výroba elektřiny a tepla, která bude financována ze státního rozpočtu, respektive ze strany konečného spotřebitele. Podpora KVET je však "pouze" komplementární.</t>
  </si>
  <si>
    <t>V rámci Modernizačního fondu by měla být financována modernizace zdrojů v rámci soustav zásobování teplem, což je komplementární k modernizaci rozvodů tepla. V rámci Modernizačního fondu by měly být financovány také "komplexní" projekty komplexní modernizace zdroje a rozvodů.</t>
  </si>
  <si>
    <t>Podnikový sektor, obce, kraje (NACE 35).</t>
  </si>
  <si>
    <t>Beneficientem mohou být teroreticky MSP (nejsou vyloučeny), ale z podstaty struktury sektoru se očekává, že budou v podstatě 100 % převažovat velké podniky.</t>
  </si>
  <si>
    <t>2.3 Transformation of industry and the transition to cleaner energy sources</t>
  </si>
  <si>
    <t>2. Physical infrastructure and green transition</t>
  </si>
  <si>
    <t>029 Obnovitelná energie: fotovoltaika</t>
  </si>
  <si>
    <t>029 Renewable energy: solar</t>
  </si>
  <si>
    <t>Kritérium DNSH by mělo být splněno (viz T1aDNSH)</t>
  </si>
  <si>
    <t>DNSH principle should be fullfiled (see T1aDNSH).</t>
  </si>
  <si>
    <t>Žádné "transtitional challenges" nebyly identifikovány</t>
  </si>
  <si>
    <t>No transitional challenges were identified</t>
  </si>
  <si>
    <t>Není relevantní</t>
  </si>
  <si>
    <t>034bis0
Vysoce účinná kogenerace, efektivní dálkové vytápění a chlazení s nízkými emisemi v rámci celého životního cyklu</t>
  </si>
  <si>
    <t>034bis0
High efficiency co-generation, efficient district heating and cooling with low lifecycle emissions</t>
  </si>
  <si>
    <t>Kritérium DNSH by mělo být splněno (viz T1aDNSH).</t>
  </si>
  <si>
    <t>Za "transitional challange" je možné označit také provedené modernizace zdrojů v rámci daných soustav.</t>
  </si>
  <si>
    <t>Transitional challange is to modernize also the sources within the district heating systems</t>
  </si>
  <si>
    <t>1.1. Budování infrastruktury - budování veřejné infrastruktury</t>
  </si>
  <si>
    <t>2022-2026</t>
  </si>
  <si>
    <t>4.3; 4.4; 4.5</t>
  </si>
  <si>
    <t>podnikový sektor (CZ-NACE 27.1, 29, 35 aj.)</t>
  </si>
  <si>
    <t>Ano, cca 30 %</t>
  </si>
  <si>
    <t>1.2. Budování infrastruktury - budování infrastruktury pro veřejnou dopravu (Praha)</t>
  </si>
  <si>
    <t>podnikový sektor (CZ-NACE 27.1, 29, 35 aj.), dopravní podniky</t>
  </si>
  <si>
    <t>můžou být i MSP</t>
  </si>
  <si>
    <t>1.3. Budování neveřejné infrastruktury</t>
  </si>
  <si>
    <t>podnikatelský sektor včetně živnostníků - většina odvětví</t>
  </si>
  <si>
    <t>Ano,předpoklad MSP 60 %</t>
  </si>
  <si>
    <t>1.4. Budování infrastruktury - Budování dobíjecích stanic pro obytné budovy</t>
  </si>
  <si>
    <t>vlastníci domů, domácnosti</t>
  </si>
  <si>
    <t>1.5. Budování infrastruktury - Budování dobíjecích stanic pro municipality a jimi zřízené instituce</t>
  </si>
  <si>
    <t>municipality a jimi zřízené instituce</t>
  </si>
  <si>
    <t xml:space="preserve">2.1. Podpora nákupu vozidel - Vozidla (el, H2) pro podnikatelské subjekty včetně E-cargokol </t>
  </si>
  <si>
    <t>Podnikatelské subjekty z různých odvětví</t>
  </si>
  <si>
    <t>ano, pravděpodobně 60 %</t>
  </si>
  <si>
    <t xml:space="preserve">2.2. Podpora nákupu vozidel - Vozidla (el, H2) pro obce, kraje, státní správu </t>
  </si>
  <si>
    <t>obce, raje, státní správa</t>
  </si>
  <si>
    <t>2.3. Podpora nákupu vozidel - Vozidla (elektrobusy a hybridní autobusy pro veřejnou hromadnou dopravu v Hlavním městě Praha)</t>
  </si>
  <si>
    <t>Dopravní podnik Hl. města Prahy</t>
  </si>
  <si>
    <t> not relevant</t>
  </si>
  <si>
    <t>ANO</t>
  </si>
  <si>
    <t xml:space="preserve">V ČR není dostatek dobíjecích stanic. V oblasti dobíjecí infrastruktury lze konstatovat, že v ČR bude počet veřejných dobíjecích bodů narůstat  zejména pokud bude stimulace veřejnou podporou. </t>
  </si>
  <si>
    <t>V Praze není dostatek dobíjecích stanic pro autobusy</t>
  </si>
  <si>
    <t xml:space="preserve">Tato infrastruktura je směřována pro podnikatele. </t>
  </si>
  <si>
    <t>Podpora domácího dobíjení určená pro vlastníky bytových jednotek v rámci společných parkovacích prostor.</t>
  </si>
  <si>
    <t>1.5. Budování infrastruktury</t>
  </si>
  <si>
    <t>Budování dobíjecí infrasttruktury pro obce, kraje, které si budou jako veřejní zadavatelé pořizovat elektromobily.</t>
  </si>
  <si>
    <t>Není dostatek vozidel na alternativní paliva v rámci podnikatelské sféry.</t>
  </si>
  <si>
    <t>Nutno splnit povinné podíly nízkoemisních vozidel.</t>
  </si>
  <si>
    <t>Nedostatek vozidel pro hromadnou dopravu v Praze.</t>
  </si>
  <si>
    <t>1.1 Nová zelená úsporám</t>
  </si>
  <si>
    <t>Absorpční kapacita programu NZÚ 2030 je vyšší než jsou disponibilní prostředky RRF a proto MŽP jedná s MF o získání prostředků ze zákona č. 383/2012 Sb., o podmínkách obchodování s povolenkami na emise skleníkových plynů, ve znění pozdějších předpisů, náleží MŽP určený podíl z výnosů aukcí emisních povolenek EUA a EUAA v rámci EU ETS v období 2021 – 2030 ve výši 4 mld. Kč ročně, tj. celkem za toto období 40 mld. Kč.</t>
  </si>
  <si>
    <t>not decided yet</t>
  </si>
  <si>
    <t>6.10 Housing Development</t>
  </si>
  <si>
    <t>podpora  v převážné většině (standardně) nenaplňuje definiční znaky veřejné podpory. V případě podpory nemovitostí spojených s ekonomickou činností pak dle de minimis nebo blokové výjimky dle GBER</t>
  </si>
  <si>
    <t>fyzické osoby - 70% , právnické osoby - 10%, obce a kraje - 20%</t>
  </si>
  <si>
    <t>1.2 Kotlíkové dotace (zákaz provozu kotlů horší než třetí třídy od září 2020)</t>
  </si>
  <si>
    <t>5486 mil. CZK (211 mil. EUR)</t>
  </si>
  <si>
    <t xml:space="preserve">OPE - Operational Programme Environment will fund low-income household projects, simple heating unit replacement. RRF will prefere more complex projects. </t>
  </si>
  <si>
    <t>podpora  v převážné většině (standardně) nenaplňuje definiční znaky veřejné podpory. V případě podpory nemovitostí spojených s ekonomickou činností se bude postupovat dle režimu de minimis</t>
  </si>
  <si>
    <t>fyzické osoby - 93%, právnické osoby a municipality - 7%</t>
  </si>
  <si>
    <t>1.1.Nová zelená úsporám</t>
  </si>
  <si>
    <t>25bis</t>
  </si>
  <si>
    <t>V souladu</t>
  </si>
  <si>
    <t>Respected</t>
  </si>
  <si>
    <t>Intervention field 25 bis - Renovation of existing housing stock, complient with energy efficiency criteria (at least medium renovation). Proposed investments goes mainly to housing stock and are able to speed up current renovation in CZ.</t>
  </si>
  <si>
    <t>1.2 Kotlíkové dotace</t>
  </si>
  <si>
    <t>respected</t>
  </si>
  <si>
    <t>Air quality measures - intervention field 48. Investments wil speed up replacement of obsolete heating units on solid fossil fuels, which will support reaching national air quality limits. Furthermore investments are mainly linked to renovation of housing stock and will further support energy efficiency and savings.</t>
  </si>
  <si>
    <t>2.6. Nature protection and climate change adaptation</t>
  </si>
  <si>
    <t>2530 mn CZK</t>
  </si>
  <si>
    <t>ano (vlastní zdroje žadatelů o dotaci, případně obecní či krajské zdroje)</t>
  </si>
  <si>
    <t>Yes (own resources of subsidy applicants, or municipal or regional resources)</t>
  </si>
  <si>
    <t>05.6. - Enviromental protection e.t.c.</t>
  </si>
  <si>
    <t>státní podniky povodí a Lesy České republiky, obce, kraje</t>
  </si>
  <si>
    <t>2.6.2 Podpora opatření na drobných vodních tocích a malých vodních nádržích</t>
  </si>
  <si>
    <t>2.6.2 Support of measures on small water courses and small water reservoirs</t>
  </si>
  <si>
    <t>1850 mn CZK</t>
  </si>
  <si>
    <t>ano (vlastní zdroje žadatelů o dotaci)</t>
  </si>
  <si>
    <t>Yes (own resources of subsidy applicants)</t>
  </si>
  <si>
    <t xml:space="preserve">municipalities, river board -state enterprises </t>
  </si>
  <si>
    <t>2.6.3 Irrigation</t>
  </si>
  <si>
    <t>780 mn CZK</t>
  </si>
  <si>
    <t>Působnost blokové výjimky GBER oznámena podpora SA.48041 (2017/X) – Podprogram 129 313 - Podpora optimalizace závlahových sítí ve správě Státního pozemkového úřadu.</t>
  </si>
  <si>
    <t>Realizovaná podpora notifikována EK. Podprogram 129 312 - Podpora obnovy a budování závlahového detailu a optimalizace závlahových sítí – II. etapa SA.46419 (2016/N) schválena EK 23. 1. 2017.</t>
  </si>
  <si>
    <t>No. SA.46419(2016/N)</t>
  </si>
  <si>
    <t>Příjemcem Státní pozemkový úřad, klasifikace NACE: E 36.00 Shromažďování, úprava a rozvod vody. Příjemci podpory Podprogramu 129 312 - Podpora obnovy a budování závlahového detailu a optimalizace závlahových sítí – II. etapa jsou: velké podniky (cca 5%), malé a střední podniky (MSP) (cca 50%) a mikropodniky (cca 45%), NACE: A 01.1 Pěstování plodin jiných než trvalých, A 01.2 Pěstování trvalých plodin.</t>
  </si>
  <si>
    <t>2.6.4 Provádění pozemkových úprav s pozitivním vlivem na prevenci eroze a zachycování srážek</t>
  </si>
  <si>
    <t>1000 mn CZK</t>
  </si>
  <si>
    <t>Národní</t>
  </si>
  <si>
    <t>National</t>
  </si>
  <si>
    <t>ano (1 500 mil. Kč)</t>
  </si>
  <si>
    <t>yes (1500 mil CZK)</t>
  </si>
  <si>
    <t>ano (Program rozvoje venkova)</t>
  </si>
  <si>
    <t>yes (Rural Development Programme)</t>
  </si>
  <si>
    <t>04.2 - Agriculture, forestry, fishing and hunting; 05.4 - Protection of biodiversity and landscape</t>
  </si>
  <si>
    <t>Stát (SPÚ)</t>
  </si>
  <si>
    <t>8540 mn CZK</t>
  </si>
  <si>
    <t>žádný</t>
  </si>
  <si>
    <t>Případný převis skutečné potřeby nad alokovanou částkou bude dle finančních možností hrazen ze státního rozpočtu kapitoly Mze</t>
  </si>
  <si>
    <t>Any transfer of actual needs over the allocated amount will be paid from the state budget of the Ministry of Agriculture chapter, depending on financial possibilities</t>
  </si>
  <si>
    <t>04.2 - Agriculture, forestry, fishing and hunting</t>
  </si>
  <si>
    <t>Proposed investment ocvered by the aid scheme SA.54137 (2019/N)</t>
  </si>
  <si>
    <t>Vlastníci a držitelé lesů s právem v něm hospodařit </t>
  </si>
  <si>
    <t>bez specifikace</t>
  </si>
  <si>
    <t>300 mn CZK</t>
  </si>
  <si>
    <t>Případný převis skutečné potřeby nad alokovanou částkou bude dle finančních možností hrazen ze státního rozpočtu kapitoly MZe</t>
  </si>
  <si>
    <t>2. Physical infrastrucutre and green transition</t>
  </si>
  <si>
    <t>035</t>
  </si>
  <si>
    <t>Potřeba budování protipovodňových opatření pro zajištění ochrany obyvatel a majetku</t>
  </si>
  <si>
    <t>100%
100%</t>
  </si>
  <si>
    <t xml:space="preserve">035 
037 </t>
  </si>
  <si>
    <t>035
037</t>
  </si>
  <si>
    <t>Podpora opatření na drobných vodních tocích a malých vodních nádrží pro zlepšení morfologického stavu koryt drobných vodních toků a malých vodních nádrží. Nutnost zlepšení vodního režimu krajiny, posílení retence vody v krajině, zvyšení rozvoje pobřežní vegetace a retence vody v korytech vodních toků.</t>
  </si>
  <si>
    <t>037</t>
  </si>
  <si>
    <t xml:space="preserve">Nutnost zachování udržitelného zemědělství v regionech často postihovaných suchem a zachování vegetačního pokryvu, který evapotranspirací snižuje teplotu povrchu v době letních extrémních teplot, a zároveň umožní </t>
  </si>
  <si>
    <t xml:space="preserve">100%
</t>
  </si>
  <si>
    <t xml:space="preserve">037             050
</t>
  </si>
  <si>
    <t xml:space="preserve">Podpora realizace projektů zelené infrastruktury (USES) a projektů na ochranu životního prostředí a adatptace na změnu klimatu (protierozní opatření a opatření zadržující vodu v krajině).
</t>
  </si>
  <si>
    <t>2.6.5 Building forests resistant  to climate change</t>
  </si>
  <si>
    <t xml:space="preserve">Prioritní nutnost zlepšení zdravotního stavu lesů. Investice do obnovy lesů ve smyslu pozměnění druhové, věkové a prostorové skladby lesních porostů odolných vůči klimatické změně </t>
  </si>
  <si>
    <t>Nutnost posílení retenční schopnosti lesů prostřednictvím realizace šetrných lesotechnických opatření</t>
  </si>
  <si>
    <t>2.7. Circular Economy and recycling and industrial water</t>
  </si>
  <si>
    <t>1.1. Odpady - infrastruktura                        a) Recyklační infrastruktura                           b) Energetická infrastruktura pro nakládání s vybranými druhy odpadů (nebezpečné, infekční odpady, bioplyn z bioodpadů)</t>
  </si>
  <si>
    <t>3913 mil. CZK (150 mil. EUR)</t>
  </si>
  <si>
    <t xml:space="preserve">Projekty na recyklaci a energetické využívání nerecyklovatelných, nebezpečných a zdravotnických odpadů jsou hrazeny i z OPŽP, nicméně nebude docházet k dvojímu financování projektů s ohledem na vymezení jednotlivých projektů v rámci jednotlivých programů. Dále budou vymezeny druhy odpadů pro financování z RRF. </t>
  </si>
  <si>
    <t>Waste management</t>
  </si>
  <si>
    <t>veřejná podpora dle GBER</t>
  </si>
  <si>
    <t>podnikový sektor, kraje, obce, nemocniční a zdravotnická zařízení</t>
  </si>
  <si>
    <t xml:space="preserve"> ano (procentuální pokrytí však nelze odhadovat a ani není účelně vyčleňovat zvláštní část aloakce jen pro MSP</t>
  </si>
  <si>
    <t>1.3. Cirkulární řešení v podnicích</t>
  </si>
  <si>
    <t>2,6 mld. Kč</t>
  </si>
  <si>
    <t>Projekty cirkulárních řešení v podnicích (inovativní technologie na získávání, zpracování, využívání druhot. surovin a ke snížení materiálové náročnosti výroby a projekty zaměřené na materiálový ekodesign) budou hrazeny z OP TAK; celk. alokace 2,6 mld Kč je určena výhradně pro MSP.   Nebude však docházet k dvojímu financování projektů s ohledem na vymezení jednotlivých projektů v rámci jednotlivých programů.</t>
  </si>
  <si>
    <t>Waste management; Other Industries</t>
  </si>
  <si>
    <t> není relevantní</t>
  </si>
  <si>
    <t>podnikový sektor - velké podniky, MSP</t>
  </si>
  <si>
    <t xml:space="preserve"> ano, procentuální pokrytí však nelze odhadovat a ani není účelně vyčleňovat zvláštní část aloakce jen pro MSP</t>
  </si>
  <si>
    <t>1.4. Úspora vody v průmyslu</t>
  </si>
  <si>
    <t>1,3 mld. Kč</t>
  </si>
  <si>
    <t>Projekty na úsporu vody v průmyslu jsou hrazeny z OP TAK, celk. alokace 1,3 mld. Kč je určena výhradně pro MSP.  Nebude však docházet k dvojímu financování projektů s ohledem na vymezení jednotlivých projektů v rámci jednotlivých programů.</t>
  </si>
  <si>
    <t>Other Industries; Water management;  Pollution abatement</t>
  </si>
  <si>
    <t xml:space="preserve">1.1. Odpady - infrastruktura                                        </t>
  </si>
  <si>
    <t>detailní rozdělení dle buněk G8 a G9</t>
  </si>
  <si>
    <t>detailní rozdělení dle buněk H8 a H9</t>
  </si>
  <si>
    <t>detailní rozdělení dle buněk I8 a I9</t>
  </si>
  <si>
    <t>Yes - respected (incl. Assessment for WtE)</t>
  </si>
  <si>
    <t>NE</t>
  </si>
  <si>
    <t>a) Recyklační infrastruktura</t>
  </si>
  <si>
    <t>045bis;                 (044)</t>
  </si>
  <si>
    <t>ANO - v souladu</t>
  </si>
  <si>
    <t xml:space="preserve">b)Energetická infrastruktura pro nakládání s vybranými druhy odpadů (nebezpečné, infekční odpady, bioplyn z bioodpadů - (viz. Tag (1))                                                                                                                                                                                                                                    </t>
  </si>
  <si>
    <t xml:space="preserve">       0%                      40%(1)</t>
  </si>
  <si>
    <t>100%       40%(1)</t>
  </si>
  <si>
    <t xml:space="preserve">          044bis                030(1)</t>
  </si>
  <si>
    <t>047, 047a</t>
  </si>
  <si>
    <t>045</t>
  </si>
  <si>
    <t>Funkční a šetrná řešení pro nakládání se zdroji v podnicích; předcházení vzniku odpadů; optimalizace procesů výroby</t>
  </si>
  <si>
    <t>NO</t>
  </si>
  <si>
    <t>040</t>
  </si>
  <si>
    <t>Funkční úsporná řešení pro nakládání s vodou v podnicích</t>
  </si>
  <si>
    <t>ANO - Nutnost významně podporovat investice do posilování: a)Recyklační infrastruktury;                b)Infrastruktury na energetické využívání zejména nerecyklovatelných nebezpečných a zdravotnických odpadů                                                                                                                               a opatření na rozvoj infrastruktury bioplynových stanic, pro splnění závazných cílů v oblasti navýšení recyklace odpadů a omezení skládkování odpadů vyplývajících z evropské legislativy. Investice přispějí k dosažení  přechodu na oběhové hospodářství vedoucí k celkovému zlepšení životního  prostředí a pomůžou zvýšit resilienci ČR vůči environmentálním i ekonomickým hrozbám.</t>
  </si>
  <si>
    <t>100 mn CZK</t>
  </si>
  <si>
    <t>neexistuje zdroj financování pro tuto investici</t>
  </si>
  <si>
    <t>no available funding for this type of investments</t>
  </si>
  <si>
    <t>Národní program Studie a analýzy budoucího využití brownfieldů zaměřený na uhelné regiony, pro pro připravu projektové dokumentace neexistuje relevantní zdroj financování</t>
  </si>
  <si>
    <t>National scheme for study of future use of brownfield for Coal Regions, no available funding for project preparation</t>
  </si>
  <si>
    <t>06.2.0</t>
  </si>
  <si>
    <t>De minimis</t>
  </si>
  <si>
    <t>not applicable</t>
  </si>
  <si>
    <t>územní samosprávné celky</t>
  </si>
  <si>
    <t>1100 mn CZK</t>
  </si>
  <si>
    <t>04.7.4</t>
  </si>
  <si>
    <t>rozhodnutí Komise ze dne 27. 3. 2014 o státní podpoře SA.36346, 
GBER 53, 55, 56</t>
  </si>
  <si>
    <t>vlastníci brownfieldů (územní samosprávné celky, NNO, stát, MSP)</t>
  </si>
  <si>
    <t>1800 mn CZK</t>
  </si>
  <si>
    <t>Finanční nástroj SFPI Revitalizace brownfieldů pro jiné než hospodářské využití</t>
  </si>
  <si>
    <t>Financial Instrument for brownfield revitalization for non-business use</t>
  </si>
  <si>
    <t>2.9. Regenerace brownfieldů</t>
  </si>
  <si>
    <t>2.9 Brownfield regeneration</t>
  </si>
  <si>
    <t xml:space="preserve">4. Investiční podpora regenerace brownfieldů ve vlastnictví obcí a krajů pro podnikatelské využití </t>
  </si>
  <si>
    <t>4. Investment support for the regeneration of brownfields in public ownership for business use</t>
  </si>
  <si>
    <t>2020-2025</t>
  </si>
  <si>
    <t>Národní program Regenerace a podnikatelské využití brownfieldů</t>
  </si>
  <si>
    <t>National scheme for regeneration and entrepreneurship use of Brownfields</t>
  </si>
  <si>
    <t>kofinancování příjemci (obce, kraje)</t>
  </si>
  <si>
    <t>cofinancing (municipalities, regions)</t>
  </si>
  <si>
    <t>06.2.0; 05.1.0</t>
  </si>
  <si>
    <t xml:space="preserve">06.2.0; 05.1.0 </t>
  </si>
  <si>
    <t>falls under article 56 GBER</t>
  </si>
  <si>
    <t>*všechny podpořené projekty budou zazávazkovány do roku 2023</t>
  </si>
  <si>
    <t>2.8. Regenerace brownfieldů</t>
  </si>
  <si>
    <t>2.8 Brownfield regeneration</t>
  </si>
  <si>
    <t>1. Program pro přípravu projektů regenerace brownfieldů</t>
  </si>
  <si>
    <t>1. Support for project preparation of brownfield regeneration projects</t>
  </si>
  <si>
    <t xml:space="preserve">2. Investiční podpora regenerace specifických brownfieldů </t>
  </si>
  <si>
    <t>2. Investment support for regeneration of specific brownfield sites</t>
  </si>
  <si>
    <t>3. Investment support for the regeneration of brownfields in public ownership for non-business use</t>
  </si>
  <si>
    <t>Fyzická infrastruktura a zelená tranzice</t>
  </si>
  <si>
    <t>Physical infrastructure and green transition</t>
  </si>
  <si>
    <t xml:space="preserve">Regenerace brownfieldů přispěje k zahušťování zastavěného prostředí měst a obcí a tím k efektivnějšímu využívání technické a dopravní infrastruktury, snížení nákladů na jejich provoz, snížení spotřeby energií a zvýšení energetické účinnosti. Vytvoření podmínek pro rozvoj brownfieldů pomůže snížit zábor zemědělské půdy a bude mít pozitivními důsledky na globální změny klimatu a vyváření lepších místních podmínek pro adaptaci na klimatické změny.  </t>
  </si>
  <si>
    <t>The brownfields regeneration will contribute to deceleration of urban sprawl and more efficient use of technical and transport infrastructure, reduction of their operating costs and higher energy efficiency. Decontamination and redevelopment of brownfield sites will reduce the occupation of agricultural land and will have positive consequences for global climate change and the creation of better local conditions for adaptation to climate change.</t>
  </si>
  <si>
    <t>3.1 Inovace ve vzdělávání  kontextu digitalizace</t>
  </si>
  <si>
    <t>3.1. Innovation in Education in the context of Digitization</t>
  </si>
  <si>
    <t>1.1.Curricula reform and its implementation</t>
  </si>
  <si>
    <t>09.1 Předškolní a primární vzdělávání
09.3 Sekundární vzdělávání
09.6 Vedlejší služby pro vzdělávání</t>
  </si>
  <si>
    <t>09.1 Pre-primary and primary education
09.3 Secondary education
09.6 Subsidiary services to education</t>
  </si>
  <si>
    <t>základní školy
střední školy</t>
  </si>
  <si>
    <t>1.2.DigCompEdu Implementation</t>
  </si>
  <si>
    <t>mateřské školy
základní školy
střední školy
Národní pedagogický institut ČR</t>
  </si>
  <si>
    <t>1.3 Fond mobilních digitálních zařízení pro znevýhodněné žáky a digitalizace škol</t>
  </si>
  <si>
    <t>1.3. Mobile digital devices fund for disadvantaged pupils and digitization of  schools</t>
  </si>
  <si>
    <t>mateřské školy
základní školy
střední školy</t>
  </si>
  <si>
    <t>celkem</t>
  </si>
  <si>
    <t>Reforma</t>
  </si>
  <si>
    <t xml:space="preserve">3. Vzdělávání a trh práce </t>
  </si>
  <si>
    <t>3 Education and the Labour Market</t>
  </si>
  <si>
    <t xml:space="preserve">112 
Podpora primárního až sekundárního vzdělávání (vyjma infrastruktury)
</t>
  </si>
  <si>
    <t>112 
Support for primary to secondary education (excluding infrastructure)</t>
  </si>
  <si>
    <t>Tato reforma pomůže naplnit Strategii vzdělávací politiky do roku 2030+, a to konkrétně strategickou linii č. 1: Proměna obsahu, způsobů a hodnocení vzdělávání, část 1.4., která se týká digitálního vzdělávání a její tři cíle: 1. Zajistit podporu digitální gramotnosti všech žáků, 2. Podpořit digitální kompetence všech pedagogů a 3. Snižování nerovností a prevence digitální propasti.</t>
  </si>
  <si>
    <t>This reform will help fulfill the Education Policy Strategy 2030+, namely Strategic Line No. 1: Changing the content, methods and evaluation of education, part 1.4. which concerns digital education and its three objectives: 1. To ensure the support of digital literacy of all pupils, 2. To support the digital competences of all teachers and 3. Reducing inequalities and preventing the digital divide.</t>
  </si>
  <si>
    <t>3.2 Adaptation of capacity and focus of school programs</t>
  </si>
  <si>
    <t>2.1 Transforming higher education institutions to adapt to new modes of learning and to respond to changing labour market needs in post-covid recovery</t>
  </si>
  <si>
    <t>09.4 Terciární vzdělávání</t>
  </si>
  <si>
    <t>09.4 Terciary education</t>
  </si>
  <si>
    <t>vysoké školy</t>
  </si>
  <si>
    <t>09.4 Terciární vzdělávání
09.6 Vedlejší služby ve vzdělávání</t>
  </si>
  <si>
    <t>09.4 Tertiary education
09.6 Subsidiary services to education</t>
  </si>
  <si>
    <t>veřejné vysoké školy</t>
  </si>
  <si>
    <t xml:space="preserve">09.1 Předškolní a primární vzdělávání
09.3 Sekundární vzdělávání
10.4 Rodina a děti
</t>
  </si>
  <si>
    <t>09.1 Pre-primary and primary education
09.3 Secondary education
10.4 Family and Children</t>
  </si>
  <si>
    <t>09.1 Předškolní a primární vzdělání
09.6 Vedlejší služby ve vzdělávání</t>
  </si>
  <si>
    <t>09.1 Pre-primary and primary education
09.6 Subsidiary services to education</t>
  </si>
  <si>
    <t>základní školy
školská zařízení</t>
  </si>
  <si>
    <t>3.2 Adapting School Capacity and Curriculum</t>
  </si>
  <si>
    <t>113 
Podpora terciárního vzdělávání (vyjma infrastruktury)</t>
  </si>
  <si>
    <t>113 
Support for tertiary education (excluding infrastructure)</t>
  </si>
  <si>
    <t>Nedostatek kvalifikovaných pracovníků v odvětvích klíčových pro překonání rizik a využití příležitostí spojených s digitální transformací musí být kompenzován jak vytvořením nových studijních programů, tak rozšířením nabídky re-skillingu a up-skillingu pro vysoce kvalifikované pozice. Půjde o využití digitálních prostředků pro vzdělávání různých oborů, tedy nepůjde o čistou výuku jen digitálních znalostí. 
Podpora přechodu k online a blended vzdělávání je příležitostí k posílení dostupnosti a efektivity vysokých škol a cestou k větší relevenaci vzdělávání pro výzvy digitální éry. Největší překážkou zde jsou omezené kapacity vysokých škol z hlediska jak technologického vybavení, tak lidských zdrojů a potřebného know-how.</t>
  </si>
  <si>
    <t>Lack of skilled labour force in critical fields necessary to mitigate transition risks and seize the opportunities of digitalisation is to be overcome by both the development of new study programmes and by expanding the provision of up-skilling and re-skilling for high-qualified jobs. It will be a matter of using digital tools for the education of various fields, so it will not be a matter of pure teaching only of digital knowledge.
Stimulating the transition towards online and blended learning is a major opportunity for making higher education more accessible, efficient and relevant for the needs of digital age. The major challange here are the limited capacities of higher education institutions, in terms of technical facilities as well as human resources and know-how.</t>
  </si>
  <si>
    <t>087 
Infrastruktura pro terciární vzdělávání</t>
  </si>
  <si>
    <t>087 
Infrastructure for tertiary education</t>
  </si>
  <si>
    <t xml:space="preserve">
Studium v moderním prostředí s akcentem na využití zeleně, dešťové vody, šedé vody, moderního způsobu vytápění a chlazení budov, s vlastním managementem obnovitelných zdrojů, ochranou biodiverzity a ekosystému včetně užití tzv. zelených střech přispěje k informálnímu a neformálnímu vzdělávání studentů, vyučujících i všech dalších osob působících na dané univerzitě v oblasti zelené transice a možnostech využívání přírodních zdrojů. </t>
  </si>
  <si>
    <t>Studying in a modern environment with an emphasis on the use of greenery, rainwater, gray water, modern heating and cooling of buildings, with its own management of renewable resources, biodiversity and ecosystem protection, including the use of green roofs will contribute to informal and non-formal education of students, teachers and all other people working and visiting at the university in the field of green transition and the possibilities of using natural resources.</t>
  </si>
  <si>
    <t>Při modernizaci budou použity nové digitální technologie odpovídající současným nárokům na výuku na vysokých školách a odpovídající potřebám při přípravě vysokoškolsky vzdělaných lidí, kteří se za jejich pomoci budou připravovat na výkon svého povolání s odpovídající digitální gramotností.
Uvědomujeme si riziko rychlého zastarávání digitálních technologií. Vzhledem na délku trvání studia na vysoké škole a vstupu na trh práce však neočekáváme, že by studenti byli vzděláváni ve zcela irelevantních podmínkách. Již nyní je patrné zpomalení ve vývoji technologií. Jejich studium tedy bude zahrnovat výuku nejen na IT technologiích, ale půjde o synergické propojení využití digitálních technologií s obsahem vzdělávání v daném studijním oboru.</t>
  </si>
  <si>
    <t>The modernization will use new digital technologies corresponding to the current demands of teaching at universities and corresponding to the needs in the preparation of university-educated people who, with their help, will prepare for the performance of their profession with adequate digital literacy.
We are aware of the risk of the rapid obsolescence of digital technologies. However, given the duration of university studies and entry into the labor market, we do not expect students to be educated in completely irrelevant conditions. There is already a slowdown in technology development. Their study will therefore include teaching not only on IT technologies, but it will be a synergistic connection between the use of digital technologies and the content of education in the given field of study.</t>
  </si>
  <si>
    <t>4.Snížení nerovností ve vzdělávání</t>
  </si>
  <si>
    <t>5.Reducing inequalities in education</t>
  </si>
  <si>
    <t>112 
Podpora primárního až sekundárního vzdělávání (vyjma infrastruktury)</t>
  </si>
  <si>
    <t>Společné vzdělávání heterogenních skupin studentů přináší silnější sociální soudržnost, občanskou angažovanost a větší flexibilitu v další profesní kariéře pro zvyšování kompetencí pro udržitelný rozvoj</t>
  </si>
  <si>
    <t xml:space="preserve"> The joint education of heterogeneous groups of students brings stronger social cohesion, civic engagement and greater flexibility in further professional careers 
for increasing competencies for sustainable development</t>
  </si>
  <si>
    <t>Digitální začlenění se vztahuje na všechny činnosti, které zajišťují přístup a používání IT technologií</t>
  </si>
  <si>
    <t xml:space="preserve">Digital inclusion refers to all those activities that ensure access and use of ICT technologies </t>
  </si>
  <si>
    <t>mil. Kč</t>
  </si>
  <si>
    <t>Snižování energetické náročnosti budov</t>
  </si>
  <si>
    <t xml:space="preserve"> </t>
  </si>
  <si>
    <t>Education and the labour market</t>
  </si>
  <si>
    <t>Modernization of employment services and development of the labour market</t>
  </si>
  <si>
    <t>Investice do modernizace budov s cílem snížení energetické náročnosti budov a zvýšení komfortu klientům</t>
  </si>
  <si>
    <t>26,26bis</t>
  </si>
  <si>
    <t>Elektronizace agend ČSSZ s cílem zlepšit informovanost veřejnosti</t>
  </si>
  <si>
    <t>3.4 Trh práce</t>
  </si>
  <si>
    <t>10.4</t>
  </si>
  <si>
    <t>žádné</t>
  </si>
  <si>
    <t xml:space="preserve">Stávající realizátoři dětských skupin/jeslí jsou z cca 80 % tvořeni nestátními neziskovými organizacemi, dále cca 10 % tvoří podniky a ve zbývajících případech se jedná o obce, kraje,  organizační složky státu a další.  V těchto případech se bude jednat o podporu rekonstrukcí stávajících zařízení.  Pokud jde o podporu vzniku nových kapacit, předpokládají se především příjemci z řad obcí, krajů a nestátních neziskových organizací. </t>
  </si>
  <si>
    <t>cca 2%</t>
  </si>
  <si>
    <t>No</t>
  </si>
  <si>
    <t>Další profesní vzdělávání (především v malých a středních podnicích) a rekvalifikace - obojí zaměřeno především na digitální kompetence</t>
  </si>
  <si>
    <t>Further vocational education (in particular SME) and reskilling - both mainly focus on digi skills</t>
  </si>
  <si>
    <t>7000 mil. Kč</t>
  </si>
  <si>
    <t>8100 mil Kč</t>
  </si>
  <si>
    <t xml:space="preserve">OPZ/OPZ+  (rekvalifikace a další profesní vzdělávání) </t>
  </si>
  <si>
    <t>OPE/OPE+ (reskilling and further vocational training)</t>
  </si>
  <si>
    <t xml:space="preserve">500 mil. Kč (spolufinancování projektů na další profesní vzdělávání) </t>
  </si>
  <si>
    <t>500 mil. CZK  (co-financing of projects for further vocational education)</t>
  </si>
  <si>
    <t>09.5 Vzdělávání nedefinované podle úrovně</t>
  </si>
  <si>
    <t>09.5 - Education not definable by level</t>
  </si>
  <si>
    <t> All supported instruments are either covered by de minimis aid or a block exemption, or there are instruments that are not covered by public support at all (ALMP).</t>
  </si>
  <si>
    <t>Some of the mentioned activities are also financed from state support, which is not significant.</t>
  </si>
  <si>
    <t>No measures are planned to be notified to the Commission.</t>
  </si>
  <si>
    <t>Jednotlivci - uchazeči a zájemci o zaměstnání a obecně populace v produktivním věku, dále pak zaměstanvatelé a zaměstnanci</t>
  </si>
  <si>
    <t> Ano, beneficientem jsou také malé a střední podniky MSP.</t>
  </si>
  <si>
    <t>1.1. Rozvoj politiky zaměstnanosti (rekvalifikace a další profesní vzdělávání)</t>
  </si>
  <si>
    <t>Development of employment policy (reskilling and further vocational training)</t>
  </si>
  <si>
    <t xml:space="preserve">This reform focuses on the investment in fostering the specific and transferable digital skills of employees (in particular SME), the self-employed people, but also the working age population in general, and the promotion of skills related to the 4th Industrial Revolution and the artificial intelligence development. The area of transferable digital competencies is covered by the content of the ECDL programme, and for example the National Register of Qualifications and the National System of Professions or various IT certifications are focused on the area of specific competencies. </t>
  </si>
  <si>
    <t xml:space="preserve">The aim of the reform will be to  create a database of retraining and further education, expand the range of educational opportunities in terms of content and provide more support for retraining in basic skills and to support the establishment and development of a network of modern educational centers, which would meet the technological challenges associated with digitization processes and the needs of industry 4.0. </t>
  </si>
  <si>
    <t>06.2.0, 04.7.4</t>
  </si>
  <si>
    <t>obce, kraje, resorty, stát</t>
  </si>
  <si>
    <t>06.2.0, 04.7.5</t>
  </si>
  <si>
    <t>4.1 SYSTEMATICKÁ PODPORA VEŘEJNÝCH INVESTIC</t>
  </si>
  <si>
    <t>4.1 Systematic support public investment</t>
  </si>
  <si>
    <t>rozbor výpočtu TAG je uveden v příloze</t>
  </si>
  <si>
    <t>Total estimated costs for which funding from the RRF is requested (mn/CZK)</t>
  </si>
  <si>
    <t>If available: Total estimated cost by year (mn/CZK)</t>
  </si>
  <si>
    <t>Rekapitalizační  nástroj (Recap)</t>
  </si>
  <si>
    <t>Nástroj Restart bude realizován dle čl. 14/22 GBER)</t>
  </si>
  <si>
    <t>Rekapitalizační nástroj (dosud nenotifikován)</t>
  </si>
  <si>
    <t>Podnikatelé (MSP, Mid-cap)</t>
  </si>
  <si>
    <t>Ano, 75%</t>
  </si>
  <si>
    <t>Podpora investic v průmyslu a podnikání</t>
  </si>
  <si>
    <t>mn.bn nat. Currency</t>
  </si>
  <si>
    <t>4.X Protikorupční opatření</t>
  </si>
  <si>
    <t>4.X anti-corruption measures</t>
  </si>
  <si>
    <t>19 mil. Kč</t>
  </si>
  <si>
    <t>CZK 19 mn.</t>
  </si>
  <si>
    <t>Fondy EHP 2014-2021: 8,8 mil. Kč</t>
  </si>
  <si>
    <t>EEA Funds 2014-2021: CZK 8,8 mn.</t>
  </si>
  <si>
    <t>Executive and legislative organs, financial and fiscal affairs, external affairs.</t>
  </si>
  <si>
    <t>7 mil. Kč</t>
  </si>
  <si>
    <t>CZK 7 mn.</t>
  </si>
  <si>
    <t>Law courts</t>
  </si>
  <si>
    <t>3,5 mil. Kč</t>
  </si>
  <si>
    <t>CZK 3,5 mn.</t>
  </si>
  <si>
    <t>R&amp;D general public services</t>
  </si>
  <si>
    <t>4. Instituce, regulace a podpora podnikání v reakci na Covid</t>
  </si>
  <si>
    <t>4. Institutions, regulation and business support in response to Covid</t>
  </si>
  <si>
    <t>5.1 Excellent R&amp;D of public interest in Health Care priorities</t>
  </si>
  <si>
    <t>09.7 R&amp;D vzdělávání
10.8 R&amp;D sociální ochrana
07.5 R&amp;D zdraví</t>
  </si>
  <si>
    <t>09.7 R&amp;D education
10.8 R&amp;D social protection
07.5 R&amp;D health</t>
  </si>
  <si>
    <t>GBER</t>
  </si>
  <si>
    <t>výzkumné organizace veřejného i soukromého sektoru
a podniky zabývající se výzkumem
72191, 7211, 722, 72</t>
  </si>
  <si>
    <t>Procento spolupráce s MSP nelze před vyhodnocením výsledků veřejné soutěže ve VaVaI předjímat</t>
  </si>
  <si>
    <t>5. Výzkum, vývoj a inovace</t>
  </si>
  <si>
    <t>5. Research, Development and Innovation</t>
  </si>
  <si>
    <t>cílené posílení nedostatečné výzkumné infrastruktury a kapacity VaVaI</t>
  </si>
  <si>
    <t>targeted strengthening of th shortage in the R&amp;D scientific infrastructure and capacities</t>
  </si>
  <si>
    <t>009 
Výzkumné a inovační činnosti ve veřejných výzkumných střediscích, vysokoškolském vzdělávání a odborných střediscích, včetně vytváření sítí (průmyslový výzkum, experimentální vývoj, studie proveditelnosti)</t>
  </si>
  <si>
    <t>009
Research and innovation activities in public research centres, higher education and centres of competence including networking (industrial research, experimental development, feasibility studies)</t>
  </si>
  <si>
    <t>State aid - Detailněji</t>
  </si>
  <si>
    <t>04.8 - R&amp;D Economic affairs</t>
  </si>
  <si>
    <t>yes, SA.54297 TREND</t>
  </si>
  <si>
    <t>Hlavními příjemci jsou podnikatelské subjekty, s ohledem na šíři a zaměření programu v širokém zastoupení hlavních odvětví provádějících VaVaI s podporou z veřejných prostředků: 62-Činnosti v oblasti informačních technologií, 28-Výroba strojů a zařízení j. n., 26-Výroba počítačů, el. a opt. přístrojů a zařízení, 30-Výroba ostatních dopravních prostředků a zařízení, 27-Výroba elektrických zařízení, 22-Výroba pryžových a plastových výrobků atd.</t>
  </si>
  <si>
    <t>yes, SA.55058 The Country for the Future, Podprogram 3</t>
  </si>
  <si>
    <t>yes, SA.54514 Program na podporu aplikovaného výzkumu, experimentálního vývoje a inovací Národní centra kompetence</t>
  </si>
  <si>
    <t>Hlavními příjemci jsou výzkumné organizace s podmínkou dalších příjemců, kterými jsou podnikatelské subjekty, s ohledem na šíři a zaměření programu v širokém zastoupení hlavních odvětví provádějících VaVaI s podporou z veřejných prostředků: 62-Činnosti v oblasti informačních technologií, 28-Výroba strojů a zařízení j. n., 26-Výroba počítačů, el. a opt. přístrojů a zařízení, 30-Výroba ostatních dopravních prostředků a zařízení, 27-Výroba elektrických zařízení, 22-Výroba pryžových a plastových výrobků atd.</t>
  </si>
  <si>
    <t>yes, SA.54296 Program aplikovaného výzkumu, experimentálního vývoje a inovací v oblasti životního prostředí - Prostředí pro život</t>
  </si>
  <si>
    <t>Hlavními příjemci jsou výzkumné organizace a podnikatelské subjekty, s ohledem na šíři a zaměření programu v širokém zastoupení hlavních odvětví provádějících VaVaI s podporou z veřejných prostředků: 62-Činnosti v oblasti informačních technologií, 28-Výroba strojů a zařízení j. n., 26-Výroba počítačů, el. a opt. přístrojů a zařízení, 30-Výroba ostatních dopravních prostředků a zařízení, 27-Výroba elektrických zařízení, 22-Výroba pryžových a plastových výrobků atd.</t>
  </si>
  <si>
    <t xml:space="preserve">yes, SA.54298 Program na podporu aplikovaného výzkumu, experimentálního vývoje a inovací v oblasti dopravy - DOPRAVA 2020+ </t>
  </si>
  <si>
    <t>Rámcový program pro výzkum a inovace (H2020 a Horizont Evropa)</t>
  </si>
  <si>
    <t>20 (top-up rámcového programu pro výzkum a inovace)</t>
  </si>
  <si>
    <t>yes, SA.58358, Program EPSILON and SA.54296 and SA.54298</t>
  </si>
  <si>
    <t>008</t>
  </si>
  <si>
    <t>008 Výzkumné a inovační činnosti v malých a středních podnicích, včetně vytváření sítí</t>
  </si>
  <si>
    <t>Program TREND přinese významný příspěvek k výzkumu a vývoji v oblasti digitalizace, konkrétně v rámci Intervention field 2: Digital-related investment in R&amp;D. Program, jeho specifické cíle a jeho jednotlivé výzvy cílí mj. na příspěvek k naplňování principů agendy Průmysl 4.0, na využívání 5G sítí a na další prvky digitální tranzice. Zaměření programu na „digitální agendu“ lze doložit z analýzy pilotních výzev, kdy přes 35 % projektů je zaměřeno na Průmysl 4.0 (což je jako bonifikační kritérium explicitně posuzováno) a společně s dalšími tématy „digitální agendy“ je na ni zaměřena velká část projektů.</t>
  </si>
  <si>
    <t>020 Inovační procesy v malých a středních podnicích (proces, organizace, marketing, spoluvytváření, inovace založené na uživateli a poptávce)</t>
  </si>
  <si>
    <t>Mezi podpořenými projekty v Programu The Country for the Future bude významná část aktivit zaměřena na digitalizaci procesů a vnitřních postupů v podnicích. V nastavení podmínek dalších vyhlašovaných soutěží bude věnována ještě vyšší pozornost příspěvku projektů k zavádění principů digitalizace a takové projekty budou dále odděleně monitorovány tak, aby příspěvek v této oblasti mohl být explicitně sledován.</t>
  </si>
  <si>
    <t>009 Výzkumné a inovační činnosti ve veřejných výzkumných střediscích, vysokoškolském vzdělávání a odborných střediscích, včetně vytváření sítí (průmyslový výzkum, experimentální vývoj, studie proveditelnosti)</t>
  </si>
  <si>
    <t>Dopad na digitalizační agendu je v intervenční oblasti 2 „Digitální investice do výzkumu a vývoje". V programu Národní centra kompetence se předpokládá podpoření několika projektů center se specifickým zaměřením na témata výzkumu a vývoje spojená s digitalizační agendou. V současné pilotní realizaci národních center kompetence jsou celkem 4 centra výrazně zaměřená na agendu digitalizace.</t>
  </si>
  <si>
    <t>022</t>
  </si>
  <si>
    <t>Hlavní výzvou programu Prostředí pro život jsou výzkumné a inovační procesy, přenos technologií a spolupráce mezi podniky se zaměřením na nízkouhlíkové hospodářství, odolnost a přizpůsobení se změně klimatu. Nejrelevantnější ekonomické dimenze, pokud jde o kódy v tabulce 4, jsou 01, 02, 03, 04, 13, 11 a 24.</t>
  </si>
  <si>
    <t>Program DOPRAVA 2020+ podpoří projekty v oblasti digitalizace v dopravě s cílem přispět k modernizaci sektoru prostřednictvím využití moderních technologií a podpoře trendů jako je automatizace. Projekty s tímto zaměřením budou v rámci hodnocení podpořeny formou bonifikace tak, aby byly prostředky efektivně využity na cílenou podporu tématu digitalizace, automatizace a souvisejících oblastí. Jeden ze 4 specifických cílů programu DOPRAVA 2020+, v rámci kterého budou projekty realizovány, se nazývá "Automatizace, digitalizace, navigační a družicové systémy"</t>
  </si>
  <si>
    <t>Projekty podpořené v rámci této investice mohou přispět k výzkumu a vývoji v oblasti digitalizace, konkrétně v rámci Intervention field 2: Digital-related investment in R&amp;D. Některá vybraná co-funded partnerství a jejich výzvy cílí mj. na příspěvek k naplňování principů agendy Průmysl 4.0, na využívání 5G sítí a na další prvky digitální tranzice. Zaměření něketrých výzev a projektů na „digitální agendu“ lze doložit z již realizovaných projektů co-funded partnerství v rámci programu Horizont 2020 do kterých je TA ČR zapojena.</t>
  </si>
  <si>
    <t>2021 - 2026</t>
  </si>
  <si>
    <t>1 800 million CZK</t>
  </si>
  <si>
    <t>1 200 million CZK</t>
  </si>
  <si>
    <t>2 100 million CZK</t>
  </si>
  <si>
    <t>6. Zdraví a odolnost obyvatel</t>
  </si>
  <si>
    <t>If available: Total estimated cost by year (mn/bn national currency/EUR) mil CZK</t>
  </si>
  <si>
    <t>CZK</t>
  </si>
  <si>
    <t>6.2 Prevence onkologických onemocnění</t>
  </si>
  <si>
    <t xml:space="preserve"> - </t>
  </si>
  <si>
    <t>4.3 Protikorupční opatření</t>
  </si>
  <si>
    <t>Komponenty</t>
  </si>
  <si>
    <t>Please indicate if 0%, 40% or 100% of the reform/investment contributes to the objective. For reforms/investments and the climate objective, Member States should use the methodology for climate tracking applied for cohesion policy funds, in particular as set out in Table 1, Table 4 and Table 6 of Annex I to [Common Provision Regulation COM(2018) 375] and justify their choice, in particular for reforms. For reforms/investments and environmental objectives, they are invited to follow the same methodology. In both cases, please indicate the relevant intervention field for every reform/investment by choosing the most appropriate one. If several ones can be applied, the Member State should motivate why they choose the selected one. For green objectives, Member States are invited to indicate that the do not significant harm (DNSH) principle is respected defined in Regulation 2020/852 (Taxonomy Regulation).</t>
  </si>
  <si>
    <t>010	Digitizing SMEs (including e-Commerce, e-Business and networked business processes, digital innovation hubs, living labs, web entrepreneurs and ICT start-ups, B2B)</t>
  </si>
  <si>
    <t>Využívání digitálních technologií má jako jeden ze sekundárních cílů propojení na zelenou transici.</t>
  </si>
  <si>
    <t>Tento cíl přišpívá k transici na digitalizaci a podpoře průmyslu v boji proti COVID-19 a přípravu na další potenciální budoucí krize.</t>
  </si>
  <si>
    <t>1.1. Evropská a národní centra pro digitální inovace</t>
  </si>
  <si>
    <t>1.2. Testovací a experimentální zařízení</t>
  </si>
  <si>
    <t>010 bis	Digitizing large enterprises (including e-Commerce, e-Business and networked business processes, digital innovation hubs, living labs, web entrepreneurs and ICT start-ups, B2B)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</si>
</sst>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Kč&quot;;[Red]\-#,##0\ &quot;Kč&quot;"/>
    <numFmt numFmtId="165" formatCode="_-* #,##0.00\ _K_č_-;\-* #,##0.00\ _K_č_-;_-* &quot;-&quot;??\ _K_č_-;_-@_-"/>
    <numFmt numFmtId="166" formatCode="_-* #,##0\ _K_č_-;\-* #,##0\ _K_č_-;_-* &quot;-&quot;\ _K_č_-;_-@_-"/>
  </numFmts>
  <fonts count="84">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sz val="11"/>
      <color theme="1"/>
      <name val="Calibri"/>
      <family val="2"/>
      <charset val="238"/>
    </font>
    <font>
      <b/>
      <sz val="12"/>
      <color rgb="FF000000"/>
      <name val="Times New Roman"/>
      <family val="1"/>
      <charset val="238"/>
    </font>
    <font>
      <sz val="12"/>
      <color rgb="FF000000"/>
      <name val="Times New Roman"/>
      <family val="1"/>
      <charset val="238"/>
    </font>
    <font>
      <sz val="12"/>
      <color theme="1"/>
      <name val="Times New Roman"/>
      <family val="1"/>
      <charset val="238"/>
    </font>
    <font>
      <sz val="12"/>
      <color rgb="FF000000"/>
      <name val="Times New Roman"/>
      <family val="1"/>
      <charset val="238"/>
    </font>
    <font>
      <sz val="11"/>
      <color theme="1"/>
      <name val="Arial"/>
      <family val="2"/>
      <charset val="238"/>
    </font>
    <font>
      <sz val="10"/>
      <name val="Calibri Light"/>
      <family val="2"/>
      <charset val="238"/>
      <scheme val="major"/>
    </font>
    <font>
      <b/>
      <sz val="10"/>
      <name val="Calibri Light"/>
      <family val="2"/>
      <charset val="238"/>
      <scheme val="major"/>
    </font>
    <font>
      <b/>
      <sz val="10"/>
      <color theme="1"/>
      <name val="Calibri Light"/>
      <family val="2"/>
      <charset val="238"/>
      <scheme val="major"/>
    </font>
    <font>
      <sz val="11"/>
      <color theme="1"/>
      <name val="Arial"/>
      <family val="2"/>
      <charset val="238"/>
    </font>
    <font>
      <sz val="10"/>
      <color theme="1"/>
      <name val="Calibri Light"/>
      <family val="2"/>
      <charset val="238"/>
      <scheme val="major"/>
    </font>
    <font>
      <sz val="10"/>
      <color rgb="FF000000"/>
      <name val="Calibri Light"/>
      <family val="2"/>
      <charset val="238"/>
      <scheme val="major"/>
    </font>
    <font>
      <b/>
      <sz val="12"/>
      <color theme="1"/>
      <name val="Times New Roman"/>
      <family val="1"/>
    </font>
    <font>
      <b/>
      <sz val="12"/>
      <color rgb="FF002060"/>
      <name val="Times New Roman"/>
      <family val="1"/>
    </font>
    <font>
      <b/>
      <sz val="12"/>
      <color rgb="FFFF0000"/>
      <name val="Times New Roman"/>
      <family val="1"/>
      <charset val="238"/>
    </font>
    <font>
      <b/>
      <sz val="12"/>
      <name val="Times New Roman"/>
      <family val="1"/>
      <charset val="238"/>
    </font>
    <font>
      <b/>
      <sz val="12"/>
      <color rgb="FFFF0000"/>
      <name val="Times New Roman"/>
      <family val="1"/>
    </font>
    <font>
      <sz val="12"/>
      <color rgb="FF002060"/>
      <name val="Times New Roman"/>
      <family val="1"/>
    </font>
    <font>
      <sz val="12"/>
      <color rgb="FF000000"/>
      <name val="Times New Roman"/>
      <family val="1"/>
    </font>
    <font>
      <sz val="12"/>
      <color theme="1"/>
      <name val="Times New Roman"/>
      <family val="1"/>
    </font>
    <font>
      <sz val="12"/>
      <color theme="1"/>
      <name val="Times New Roman"/>
      <family val="1"/>
      <charset val="238"/>
    </font>
    <font>
      <b/>
      <sz val="12"/>
      <color theme="1"/>
      <name val="Times New Roman"/>
      <family val="1"/>
      <charset val="238"/>
    </font>
    <font>
      <b/>
      <sz val="12"/>
      <color rgb="FF002060"/>
      <name val="Times New Roman"/>
      <family val="1"/>
      <charset val="238"/>
    </font>
    <font>
      <sz val="12"/>
      <color rgb="FF002060"/>
      <name val="Times New Roman"/>
      <family val="1"/>
      <charset val="238"/>
    </font>
    <font>
      <sz val="16"/>
      <color rgb="FF000000"/>
      <name val="Times New Roman"/>
      <family val="1"/>
    </font>
    <font>
      <sz val="12"/>
      <name val="Times New Roman"/>
      <family val="1"/>
      <charset val="238"/>
    </font>
    <font>
      <sz val="16"/>
      <color theme="1"/>
      <name val="Times New Roman"/>
      <family val="1"/>
    </font>
    <font>
      <sz val="16"/>
      <name val="Times New Roman"/>
      <family val="1"/>
    </font>
    <font>
      <sz val="11"/>
      <name val="Calibri"/>
      <family val="2"/>
      <scheme val="minor"/>
    </font>
    <font>
      <sz val="12"/>
      <name val="Times New Roman"/>
      <family val="1"/>
    </font>
    <font>
      <sz val="11"/>
      <name val="Times New Roman"/>
      <family val="1"/>
      <charset val="238"/>
    </font>
    <font>
      <sz val="12"/>
      <name val="Calibri"/>
      <family val="2"/>
      <scheme val="minor"/>
    </font>
    <font>
      <sz val="12"/>
      <name val="Calibri"/>
      <family val="2"/>
      <charset val="238"/>
      <scheme val="minor"/>
    </font>
    <font>
      <b/>
      <sz val="12"/>
      <name val="Calibri"/>
      <family val="2"/>
      <charset val="238"/>
      <scheme val="minor"/>
    </font>
    <font>
      <strike/>
      <sz val="11"/>
      <name val="Calibri"/>
      <family val="2"/>
      <scheme val="minor"/>
    </font>
    <font>
      <sz val="12"/>
      <color rgb="FF000000"/>
      <name val="Times New Roman"/>
      <family val="1"/>
      <charset val="238"/>
    </font>
    <font>
      <sz val="10"/>
      <color theme="1"/>
      <name val="Arial"/>
      <family val="2"/>
      <charset val="238"/>
    </font>
    <font>
      <sz val="11"/>
      <name val="Timer"/>
      <charset val="238"/>
    </font>
    <font>
      <sz val="11"/>
      <name val="Times New Roman"/>
      <family val="1"/>
    </font>
    <font>
      <b/>
      <sz val="9"/>
      <color indexed="81"/>
      <name val="Tahoma"/>
      <family val="2"/>
      <charset val="238"/>
    </font>
    <font>
      <sz val="9"/>
      <color indexed="81"/>
      <name val="Tahoma"/>
      <family val="2"/>
      <charset val="238"/>
    </font>
    <font>
      <b/>
      <sz val="12"/>
      <color rgb="FF000000"/>
      <name val="Times New Roman"/>
      <family val="1"/>
      <charset val="238"/>
    </font>
    <font>
      <b/>
      <sz val="12"/>
      <color theme="9" tint="-0.499984740745262"/>
      <name val="Times New Roman"/>
      <family val="1"/>
    </font>
    <font>
      <b/>
      <sz val="12"/>
      <color rgb="FFFF0000"/>
      <name val="Calibri"/>
      <family val="2"/>
      <charset val="238"/>
      <scheme val="minor"/>
    </font>
    <font>
      <sz val="11"/>
      <name val="Calibri"/>
      <family val="2"/>
      <charset val="238"/>
      <scheme val="minor"/>
    </font>
    <font>
      <sz val="11"/>
      <color rgb="FFFF0000"/>
      <name val="Calibri"/>
      <family val="2"/>
      <scheme val="minor"/>
    </font>
    <font>
      <sz val="12"/>
      <color rgb="FFFF0000"/>
      <name val="Times New Roman"/>
      <family val="1"/>
    </font>
    <font>
      <sz val="12"/>
      <color rgb="FFFF0000"/>
      <name val="Times New Roman"/>
      <family val="1"/>
      <charset val="238"/>
    </font>
    <font>
      <sz val="12"/>
      <color rgb="FFFF0000"/>
      <name val="Calibri"/>
      <family val="2"/>
      <scheme val="minor"/>
    </font>
    <font>
      <strike/>
      <sz val="12"/>
      <color rgb="FF000000"/>
      <name val="Times New Roman"/>
      <family val="1"/>
      <charset val="238"/>
    </font>
    <font>
      <strike/>
      <sz val="11"/>
      <name val="Calibri"/>
      <family val="2"/>
      <charset val="238"/>
      <scheme val="minor"/>
    </font>
    <font>
      <sz val="11"/>
      <name val="Calibri"/>
      <family val="2"/>
      <charset val="238"/>
    </font>
    <font>
      <b/>
      <sz val="11"/>
      <name val="Calibri"/>
      <family val="2"/>
      <charset val="238"/>
    </font>
    <font>
      <b/>
      <sz val="11"/>
      <name val="Calibri"/>
      <family val="2"/>
      <charset val="238"/>
    </font>
    <font>
      <sz val="11"/>
      <color rgb="FF000000"/>
      <name val="Calibri"/>
      <family val="2"/>
      <charset val="238"/>
    </font>
    <font>
      <sz val="11"/>
      <color theme="1"/>
      <name val="Calibri"/>
      <family val="2"/>
      <charset val="238"/>
    </font>
    <font>
      <sz val="11"/>
      <color rgb="FF444444"/>
      <name val="Calibri"/>
      <family val="2"/>
      <charset val="1"/>
    </font>
    <font>
      <sz val="11"/>
      <color rgb="FF000000"/>
      <name val="Calibri"/>
      <family val="2"/>
      <charset val="238"/>
      <scheme val="minor"/>
    </font>
    <font>
      <sz val="12"/>
      <name val="Calibri"/>
      <family val="2"/>
      <charset val="238"/>
    </font>
    <font>
      <sz val="11"/>
      <color rgb="FF000000"/>
      <name val="Calibri"/>
      <family val="2"/>
      <charset val="238"/>
    </font>
    <font>
      <sz val="11"/>
      <name val="Calibri"/>
      <family val="2"/>
      <charset val="238"/>
    </font>
    <font>
      <b/>
      <sz val="11"/>
      <color rgb="FF444444"/>
      <name val="Calibri"/>
      <family val="2"/>
      <charset val="238"/>
    </font>
    <font>
      <sz val="11"/>
      <color rgb="FF000000"/>
      <name val="Calibri"/>
      <family val="2"/>
    </font>
    <font>
      <i/>
      <sz val="12"/>
      <name val="Times New Roman"/>
      <family val="1"/>
      <charset val="238"/>
    </font>
    <font>
      <sz val="11"/>
      <name val="Calibri"/>
      <family val="2"/>
    </font>
    <font>
      <sz val="11"/>
      <color rgb="FF000000"/>
      <name val="Calibri"/>
      <family val="2"/>
      <scheme val="minor"/>
    </font>
    <font>
      <vertAlign val="superscript"/>
      <sz val="12"/>
      <name val="Times New Roman"/>
      <family val="1"/>
      <charset val="238"/>
    </font>
    <font>
      <sz val="12"/>
      <color rgb="FFC00000"/>
      <name val="Times New Roman"/>
      <family val="1"/>
      <charset val="238"/>
    </font>
    <font>
      <sz val="11"/>
      <color theme="1"/>
      <name val="Times New Roman"/>
      <family val="1"/>
      <charset val="238"/>
    </font>
    <font>
      <b/>
      <sz val="16"/>
      <color theme="1"/>
      <name val="Times New Roman"/>
      <family val="1"/>
      <charset val="238"/>
    </font>
    <font>
      <sz val="16"/>
      <color rgb="FF000000"/>
      <name val="Times New Roman"/>
      <family val="1"/>
      <charset val="238"/>
    </font>
    <font>
      <sz val="16"/>
      <color theme="1"/>
      <name val="Times New Roman"/>
      <family val="1"/>
      <charset val="238"/>
    </font>
    <font>
      <sz val="16"/>
      <name val="Times New Roman"/>
      <family val="1"/>
      <charset val="238"/>
    </font>
    <font>
      <b/>
      <sz val="12"/>
      <name val="Times New Roman"/>
      <family val="1"/>
    </font>
    <font>
      <b/>
      <sz val="12"/>
      <color theme="1"/>
      <name val="Calibri"/>
      <family val="2"/>
      <charset val="238"/>
      <scheme val="minor"/>
    </font>
    <font>
      <sz val="12"/>
      <color rgb="FF000000"/>
      <name val="Calibri"/>
      <family val="2"/>
      <charset val="238"/>
      <scheme val="minor"/>
    </font>
    <font>
      <b/>
      <sz val="12"/>
      <color rgb="FF000000"/>
      <name val="Calibri"/>
      <family val="2"/>
      <charset val="238"/>
      <scheme val="minor"/>
    </font>
    <font>
      <i/>
      <sz val="12"/>
      <color theme="1"/>
      <name val="Calibri"/>
      <family val="2"/>
      <charset val="238"/>
      <scheme val="minor"/>
    </font>
    <font>
      <b/>
      <i/>
      <sz val="12"/>
      <color rgb="FFFF0000"/>
      <name val="Calibri"/>
      <family val="2"/>
      <charset val="238"/>
      <scheme val="minor"/>
    </font>
    <font>
      <sz val="12"/>
      <color theme="1"/>
      <name val="Calibri"/>
      <family val="2"/>
      <charset val="238"/>
      <scheme val="minor"/>
    </font>
  </fonts>
  <fills count="27">
    <fill>
      <patternFill patternType="none"/>
    </fill>
    <fill>
      <patternFill patternType="gray125"/>
    </fill>
    <fill>
      <patternFill patternType="solid">
        <fgColor rgb="FFB4C6E7"/>
        <bgColor indexed="64"/>
      </patternFill>
    </fill>
    <fill>
      <patternFill patternType="solid">
        <fgColor rgb="FFFFFF00"/>
        <bgColor indexed="64"/>
      </patternFill>
    </fill>
    <fill>
      <patternFill patternType="solid">
        <fgColor theme="5"/>
        <bgColor indexed="64"/>
      </patternFill>
    </fill>
    <fill>
      <patternFill patternType="solid">
        <fgColor theme="4" tint="0.59999389629810485"/>
        <bgColor indexed="64"/>
      </patternFill>
    </fill>
    <fill>
      <patternFill patternType="solid">
        <fgColor rgb="FFFFFFFF"/>
        <bgColor indexed="64"/>
      </patternFill>
    </fill>
    <fill>
      <patternFill patternType="solid">
        <fgColor rgb="FFBDD6EE"/>
        <bgColor rgb="FFBDD6EE"/>
      </patternFill>
    </fill>
    <fill>
      <patternFill patternType="solid">
        <fgColor rgb="FFFFFF00"/>
        <bgColor rgb="FFFFFF00"/>
      </patternFill>
    </fill>
    <fill>
      <patternFill patternType="solid">
        <fgColor theme="5"/>
        <bgColor theme="5"/>
      </patternFill>
    </fill>
    <fill>
      <patternFill patternType="solid">
        <fgColor theme="7"/>
        <bgColor theme="7"/>
      </patternFill>
    </fill>
    <fill>
      <patternFill patternType="solid">
        <fgColor rgb="FFBDD6EE"/>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7" tint="0.59999389629810485"/>
        <bgColor indexed="64"/>
      </patternFill>
    </fill>
    <fill>
      <patternFill patternType="solid">
        <fgColor rgb="FFBDD7EE"/>
        <bgColor indexed="64"/>
      </patternFill>
    </fill>
    <fill>
      <patternFill patternType="solid">
        <fgColor rgb="FFFFE699"/>
        <bgColor indexed="64"/>
      </patternFill>
    </fill>
    <fill>
      <patternFill patternType="solid">
        <fgColor rgb="FFFFFFFF"/>
        <bgColor rgb="FF000000"/>
      </patternFill>
    </fill>
    <fill>
      <patternFill patternType="solid">
        <fgColor rgb="FFED7D31"/>
        <bgColor indexed="64"/>
      </patternFill>
    </fill>
    <fill>
      <patternFill patternType="solid">
        <fgColor rgb="FF00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ck">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bottom style="thin">
        <color indexed="64"/>
      </bottom>
      <diagonal/>
    </border>
    <border>
      <left style="thin">
        <color rgb="FF000000"/>
      </left>
      <right/>
      <top/>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thin">
        <color indexed="64"/>
      </top>
      <bottom style="medium">
        <color rgb="FF000000"/>
      </bottom>
      <diagonal/>
    </border>
    <border>
      <left/>
      <right/>
      <top/>
      <bottom style="medium">
        <color rgb="FF000000"/>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bottom style="thin">
        <color indexed="64"/>
      </bottom>
      <diagonal/>
    </border>
  </borders>
  <cellStyleXfs count="8">
    <xf numFmtId="0" fontId="0" fillId="0" borderId="0"/>
    <xf numFmtId="0" fontId="9" fillId="0" borderId="0"/>
    <xf numFmtId="0" fontId="13" fillId="0" borderId="0"/>
    <xf numFmtId="0" fontId="40" fillId="0" borderId="0"/>
    <xf numFmtId="165" fontId="3" fillId="0" borderId="0" applyFont="0" applyFill="0" applyBorder="0" applyAlignment="0" applyProtection="0"/>
    <xf numFmtId="9" fontId="3" fillId="0" borderId="0" applyFont="0" applyFill="0" applyBorder="0" applyAlignment="0" applyProtection="0"/>
    <xf numFmtId="0" fontId="1" fillId="0" borderId="0"/>
    <xf numFmtId="9" fontId="1" fillId="0" borderId="0" applyFont="0" applyFill="0" applyBorder="0" applyAlignment="0" applyProtection="0"/>
  </cellStyleXfs>
  <cellXfs count="694">
    <xf numFmtId="0" fontId="0" fillId="0" borderId="0" xfId="0"/>
    <xf numFmtId="0" fontId="6" fillId="2" borderId="1" xfId="0" applyFont="1" applyFill="1" applyBorder="1"/>
    <xf numFmtId="0" fontId="6" fillId="0" borderId="1" xfId="0" applyFont="1" applyBorder="1"/>
    <xf numFmtId="0" fontId="7" fillId="0" borderId="0" xfId="0" applyFont="1"/>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5" borderId="1" xfId="0"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wrapText="1"/>
    </xf>
    <xf numFmtId="0" fontId="6" fillId="0" borderId="2" xfId="0" applyFont="1" applyBorder="1" applyAlignment="1">
      <alignment horizontal="center" vertical="center" wrapText="1"/>
    </xf>
    <xf numFmtId="0" fontId="6" fillId="0" borderId="3" xfId="0" applyFont="1" applyBorder="1" applyAlignment="1">
      <alignment wrapText="1"/>
    </xf>
    <xf numFmtId="0" fontId="8" fillId="0" borderId="1" xfId="0" applyFont="1" applyBorder="1" applyAlignment="1">
      <alignment horizontal="lef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7" xfId="0" quotePrefix="1" applyFont="1" applyBorder="1" applyAlignment="1">
      <alignment horizontal="center" vertical="center" wrapText="1"/>
    </xf>
    <xf numFmtId="0" fontId="8" fillId="0" borderId="2"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3"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xf>
    <xf numFmtId="0" fontId="8" fillId="6" borderId="1" xfId="0" applyFont="1" applyFill="1" applyBorder="1" applyAlignment="1">
      <alignment horizontal="center" vertical="center" wrapText="1"/>
    </xf>
    <xf numFmtId="0" fontId="10" fillId="0" borderId="0" xfId="1" applyFont="1" applyAlignment="1">
      <alignment wrapText="1"/>
    </xf>
    <xf numFmtId="0" fontId="10" fillId="0" borderId="0" xfId="1" applyFont="1"/>
    <xf numFmtId="0" fontId="11" fillId="8" borderId="11" xfId="1" applyFont="1" applyFill="1" applyBorder="1" applyAlignment="1">
      <alignment horizontal="center" vertical="center" wrapText="1"/>
    </xf>
    <xf numFmtId="0" fontId="11" fillId="9" borderId="11" xfId="1" applyFont="1" applyFill="1" applyBorder="1" applyAlignment="1">
      <alignment horizontal="center" vertical="center" wrapText="1"/>
    </xf>
    <xf numFmtId="0" fontId="11" fillId="9" borderId="12" xfId="1" applyFont="1" applyFill="1" applyBorder="1" applyAlignment="1">
      <alignment horizontal="center" vertical="center" wrapText="1"/>
    </xf>
    <xf numFmtId="0" fontId="10" fillId="8" borderId="13" xfId="1" applyFont="1" applyFill="1" applyBorder="1" applyAlignment="1">
      <alignment vertical="center" wrapText="1"/>
    </xf>
    <xf numFmtId="0" fontId="10" fillId="9" borderId="10" xfId="1" applyFont="1" applyFill="1" applyBorder="1" applyAlignment="1">
      <alignment vertical="center" wrapText="1"/>
    </xf>
    <xf numFmtId="0" fontId="10" fillId="8" borderId="10" xfId="1" applyFont="1" applyFill="1" applyBorder="1" applyAlignment="1">
      <alignment vertical="center" wrapText="1"/>
    </xf>
    <xf numFmtId="0" fontId="10" fillId="9" borderId="10" xfId="1" applyFont="1" applyFill="1" applyBorder="1" applyAlignment="1">
      <alignment horizontal="center" vertical="center" wrapText="1"/>
    </xf>
    <xf numFmtId="0" fontId="11" fillId="9" borderId="10" xfId="1" applyFont="1" applyFill="1" applyBorder="1" applyAlignment="1">
      <alignment horizontal="center" vertical="center" wrapText="1"/>
    </xf>
    <xf numFmtId="0" fontId="10" fillId="8" borderId="10" xfId="1" applyFont="1" applyFill="1" applyBorder="1" applyAlignment="1">
      <alignment horizontal="center" vertical="center" wrapText="1"/>
    </xf>
    <xf numFmtId="0" fontId="10" fillId="9" borderId="13" xfId="1" applyFont="1" applyFill="1" applyBorder="1" applyAlignment="1">
      <alignment vertical="center" wrapText="1"/>
    </xf>
    <xf numFmtId="0" fontId="11" fillId="7" borderId="14" xfId="1" applyFont="1" applyFill="1" applyBorder="1" applyAlignment="1">
      <alignment vertical="center" wrapText="1"/>
    </xf>
    <xf numFmtId="0" fontId="11" fillId="7" borderId="15" xfId="1" applyFont="1" applyFill="1" applyBorder="1" applyAlignment="1">
      <alignment vertical="center" wrapText="1"/>
    </xf>
    <xf numFmtId="0" fontId="11" fillId="7" borderId="12" xfId="1" applyFont="1" applyFill="1" applyBorder="1" applyAlignment="1">
      <alignment vertical="center" wrapText="1"/>
    </xf>
    <xf numFmtId="0" fontId="11" fillId="0" borderId="1" xfId="1" applyFont="1" applyBorder="1" applyAlignment="1">
      <alignment horizontal="left" vertical="top" wrapText="1"/>
    </xf>
    <xf numFmtId="0" fontId="10" fillId="0" borderId="1" xfId="1" applyFont="1" applyBorder="1" applyAlignment="1">
      <alignment horizontal="left" vertical="top" wrapText="1"/>
    </xf>
    <xf numFmtId="0" fontId="10" fillId="0" borderId="1" xfId="1" applyFont="1" applyBorder="1" applyAlignment="1">
      <alignment horizontal="center" vertical="center" wrapText="1"/>
    </xf>
    <xf numFmtId="0" fontId="10" fillId="0" borderId="1" xfId="1" applyFont="1" applyBorder="1" applyAlignment="1">
      <alignment wrapText="1"/>
    </xf>
    <xf numFmtId="0" fontId="10" fillId="0" borderId="16" xfId="1" applyFont="1" applyBorder="1" applyAlignment="1">
      <alignment wrapText="1"/>
    </xf>
    <xf numFmtId="0" fontId="11" fillId="0" borderId="6" xfId="1" applyFont="1" applyBorder="1" applyAlignment="1">
      <alignment horizontal="left" vertical="top" wrapText="1"/>
    </xf>
    <xf numFmtId="0" fontId="10" fillId="0" borderId="10" xfId="1" applyFont="1" applyBorder="1" applyAlignment="1">
      <alignment wrapText="1"/>
    </xf>
    <xf numFmtId="0" fontId="10" fillId="0" borderId="10" xfId="1" applyFont="1" applyBorder="1" applyAlignment="1">
      <alignment vertical="center" wrapText="1"/>
    </xf>
    <xf numFmtId="0" fontId="10" fillId="0" borderId="10" xfId="1" applyFont="1" applyBorder="1" applyAlignment="1">
      <alignment horizontal="right" vertical="center" wrapText="1"/>
    </xf>
    <xf numFmtId="0" fontId="10" fillId="0" borderId="17" xfId="1" applyFont="1" applyBorder="1" applyAlignment="1">
      <alignment wrapText="1"/>
    </xf>
    <xf numFmtId="0" fontId="10" fillId="0" borderId="17" xfId="1" applyFont="1" applyBorder="1" applyAlignment="1">
      <alignment vertical="center" wrapText="1"/>
    </xf>
    <xf numFmtId="0" fontId="10" fillId="0" borderId="17" xfId="1" applyFont="1" applyBorder="1" applyAlignment="1">
      <alignment horizontal="right" vertical="center" wrapText="1"/>
    </xf>
    <xf numFmtId="0" fontId="10" fillId="0" borderId="1" xfId="1" applyFont="1" applyBorder="1" applyAlignment="1">
      <alignment vertical="center" wrapText="1"/>
    </xf>
    <xf numFmtId="0" fontId="10" fillId="3" borderId="0" xfId="1" applyFont="1" applyFill="1" applyAlignment="1">
      <alignment wrapText="1"/>
    </xf>
    <xf numFmtId="0" fontId="11" fillId="3" borderId="1" xfId="1" applyFont="1" applyFill="1" applyBorder="1" applyAlignment="1">
      <alignment horizontal="left" vertical="top" wrapText="1"/>
    </xf>
    <xf numFmtId="0" fontId="10" fillId="3" borderId="1" xfId="1" applyFont="1" applyFill="1" applyBorder="1" applyAlignment="1">
      <alignment horizontal="left" vertical="top" wrapText="1"/>
    </xf>
    <xf numFmtId="0" fontId="10" fillId="3" borderId="1" xfId="1" applyFont="1" applyFill="1" applyBorder="1" applyAlignment="1">
      <alignment horizontal="center" vertical="center" wrapText="1"/>
    </xf>
    <xf numFmtId="0" fontId="10" fillId="3" borderId="18" xfId="1" applyFont="1" applyFill="1" applyBorder="1" applyAlignment="1">
      <alignment horizontal="center" vertical="center" wrapText="1"/>
    </xf>
    <xf numFmtId="0" fontId="10" fillId="3" borderId="1" xfId="1" applyFont="1" applyFill="1" applyBorder="1" applyAlignment="1">
      <alignment wrapText="1"/>
    </xf>
    <xf numFmtId="0" fontId="10" fillId="3" borderId="0" xfId="1" applyFont="1" applyFill="1"/>
    <xf numFmtId="0" fontId="10" fillId="0" borderId="0" xfId="1" applyFont="1" applyAlignment="1">
      <alignment vertical="center"/>
    </xf>
    <xf numFmtId="0" fontId="10" fillId="10" borderId="1" xfId="1" applyFont="1" applyFill="1" applyBorder="1" applyAlignment="1">
      <alignment vertical="center"/>
    </xf>
    <xf numFmtId="0" fontId="10" fillId="10" borderId="0" xfId="1" applyFont="1" applyFill="1" applyAlignment="1">
      <alignment vertical="center"/>
    </xf>
    <xf numFmtId="0" fontId="10" fillId="0" borderId="19" xfId="1" applyFont="1" applyBorder="1" applyAlignment="1">
      <alignment vertical="center" wrapText="1"/>
    </xf>
    <xf numFmtId="0" fontId="10" fillId="10" borderId="1" xfId="1" applyFont="1" applyFill="1" applyBorder="1" applyAlignment="1">
      <alignment horizontal="center" vertical="center" wrapText="1"/>
    </xf>
    <xf numFmtId="0" fontId="10" fillId="10" borderId="1" xfId="1" applyFont="1" applyFill="1" applyBorder="1" applyAlignment="1">
      <alignment wrapText="1"/>
    </xf>
    <xf numFmtId="0" fontId="10" fillId="10" borderId="0" xfId="1" applyFont="1" applyFill="1" applyAlignment="1">
      <alignment wrapText="1"/>
    </xf>
    <xf numFmtId="0" fontId="10" fillId="0" borderId="3" xfId="1" applyFont="1" applyBorder="1" applyAlignment="1">
      <alignment vertical="center" wrapText="1"/>
    </xf>
    <xf numFmtId="0" fontId="10" fillId="0" borderId="1" xfId="1" applyFont="1" applyBorder="1"/>
    <xf numFmtId="0" fontId="10" fillId="10" borderId="1" xfId="1" applyFont="1" applyFill="1" applyBorder="1"/>
    <xf numFmtId="0" fontId="10" fillId="10" borderId="0" xfId="1" applyFont="1" applyFill="1"/>
    <xf numFmtId="0" fontId="10" fillId="0" borderId="1" xfId="1" applyFont="1" applyBorder="1" applyAlignment="1">
      <alignment vertical="center"/>
    </xf>
    <xf numFmtId="17" fontId="10" fillId="0" borderId="1" xfId="1" applyNumberFormat="1" applyFont="1" applyBorder="1" applyAlignment="1">
      <alignment vertical="center" wrapText="1"/>
    </xf>
    <xf numFmtId="0" fontId="12" fillId="0" borderId="1" xfId="1" applyFont="1" applyBorder="1" applyAlignment="1">
      <alignment horizontal="left" vertical="top" wrapText="1"/>
    </xf>
    <xf numFmtId="0" fontId="14" fillId="0" borderId="0" xfId="2" applyFont="1" applyAlignment="1">
      <alignment wrapText="1"/>
    </xf>
    <xf numFmtId="0" fontId="14" fillId="0" borderId="1" xfId="2" applyFont="1" applyBorder="1" applyAlignment="1">
      <alignment wrapText="1"/>
    </xf>
    <xf numFmtId="0" fontId="15" fillId="0" borderId="1" xfId="2" applyFont="1" applyBorder="1" applyAlignment="1">
      <alignment vertical="center" wrapText="1"/>
    </xf>
    <xf numFmtId="0" fontId="12" fillId="0" borderId="6" xfId="1" applyFont="1" applyBorder="1" applyAlignment="1">
      <alignment horizontal="left" vertical="top" wrapText="1"/>
    </xf>
    <xf numFmtId="0" fontId="17" fillId="3" borderId="23" xfId="0" applyFont="1" applyFill="1" applyBorder="1" applyAlignment="1">
      <alignment horizontal="center" vertical="center" wrapText="1"/>
    </xf>
    <xf numFmtId="0" fontId="18" fillId="4" borderId="23" xfId="0" applyFont="1" applyFill="1" applyBorder="1" applyAlignment="1">
      <alignment horizontal="center" vertical="center" wrapText="1"/>
    </xf>
    <xf numFmtId="0" fontId="19" fillId="4" borderId="24" xfId="0" applyFont="1" applyFill="1" applyBorder="1" applyAlignment="1">
      <alignment horizontal="center" vertical="center" wrapText="1"/>
    </xf>
    <xf numFmtId="0" fontId="20" fillId="4" borderId="24"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20" fillId="4" borderId="23" xfId="0" applyFont="1" applyFill="1" applyBorder="1" applyAlignment="1">
      <alignment horizontal="center" vertical="center" wrapText="1"/>
    </xf>
    <xf numFmtId="0" fontId="17" fillId="4" borderId="24" xfId="0" applyFont="1" applyFill="1" applyBorder="1" applyAlignment="1">
      <alignment horizontal="center" vertical="center" wrapText="1"/>
    </xf>
    <xf numFmtId="0" fontId="21" fillId="3" borderId="25" xfId="0" applyFont="1" applyFill="1" applyBorder="1" applyAlignment="1">
      <alignment vertical="center" wrapText="1"/>
    </xf>
    <xf numFmtId="0" fontId="21" fillId="4" borderId="22" xfId="0" applyFont="1" applyFill="1" applyBorder="1" applyAlignment="1">
      <alignment vertical="center" wrapText="1"/>
    </xf>
    <xf numFmtId="0" fontId="21" fillId="3" borderId="22" xfId="0" applyFont="1" applyFill="1" applyBorder="1" applyAlignment="1">
      <alignment vertical="center" wrapText="1"/>
    </xf>
    <xf numFmtId="0" fontId="21" fillId="4" borderId="22" xfId="0" applyFont="1" applyFill="1" applyBorder="1" applyAlignment="1">
      <alignment horizontal="center" vertical="center" wrapText="1"/>
    </xf>
    <xf numFmtId="0" fontId="18" fillId="4" borderId="22" xfId="0" applyFont="1" applyFill="1" applyBorder="1" applyAlignment="1">
      <alignment horizontal="center" vertical="center" wrapText="1"/>
    </xf>
    <xf numFmtId="0" fontId="21" fillId="3" borderId="22" xfId="0" applyFont="1" applyFill="1" applyBorder="1" applyAlignment="1">
      <alignment horizontal="center" vertical="center" wrapText="1"/>
    </xf>
    <xf numFmtId="0" fontId="21" fillId="4" borderId="25" xfId="0" applyFont="1" applyFill="1" applyBorder="1" applyAlignment="1">
      <alignment vertical="center" wrapText="1"/>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4" xfId="0" applyFont="1" applyFill="1" applyBorder="1" applyAlignment="1">
      <alignment vertical="center" wrapText="1"/>
    </xf>
    <xf numFmtId="0" fontId="22" fillId="0" borderId="2" xfId="0" applyFont="1" applyBorder="1" applyAlignment="1">
      <alignment vertical="center" wrapText="1"/>
    </xf>
    <xf numFmtId="0" fontId="23" fillId="0" borderId="2" xfId="0" applyFont="1" applyBorder="1" applyAlignment="1">
      <alignment vertical="center" wrapText="1"/>
    </xf>
    <xf numFmtId="0" fontId="0" fillId="0" borderId="0" xfId="0" applyAlignment="1">
      <alignment wrapText="1"/>
    </xf>
    <xf numFmtId="0" fontId="0" fillId="0" borderId="2" xfId="0" applyBorder="1"/>
    <xf numFmtId="0" fontId="0" fillId="0" borderId="2" xfId="0" applyBorder="1" applyAlignment="1">
      <alignment wrapText="1"/>
    </xf>
    <xf numFmtId="49" fontId="22" fillId="0" borderId="2" xfId="0" applyNumberFormat="1" applyFont="1" applyBorder="1" applyAlignment="1">
      <alignment vertical="center" wrapText="1"/>
    </xf>
    <xf numFmtId="0" fontId="24" fillId="0" borderId="2" xfId="0" applyFont="1" applyBorder="1" applyAlignment="1">
      <alignment vertical="center" wrapText="1"/>
    </xf>
    <xf numFmtId="0" fontId="24" fillId="0" borderId="2" xfId="0" applyFont="1" applyBorder="1"/>
    <xf numFmtId="0" fontId="24" fillId="0" borderId="2" xfId="0" applyFont="1" applyBorder="1" applyAlignment="1">
      <alignment wrapText="1"/>
    </xf>
    <xf numFmtId="0" fontId="24" fillId="0" borderId="0" xfId="0" applyFont="1" applyAlignment="1">
      <alignment horizontal="left" vertical="center" wrapText="1"/>
    </xf>
    <xf numFmtId="0" fontId="24" fillId="0" borderId="0" xfId="0" applyFont="1" applyAlignment="1">
      <alignment horizontal="center" vertical="center" wrapText="1"/>
    </xf>
    <xf numFmtId="0" fontId="26" fillId="3" borderId="23" xfId="0" applyFont="1" applyFill="1" applyBorder="1" applyAlignment="1">
      <alignment horizontal="center" vertical="center" wrapText="1"/>
    </xf>
    <xf numFmtId="0" fontId="18" fillId="4" borderId="24" xfId="0" applyFont="1" applyFill="1" applyBorder="1" applyAlignment="1">
      <alignment horizontal="center" vertical="center" wrapText="1"/>
    </xf>
    <xf numFmtId="0" fontId="26" fillId="4" borderId="23" xfId="0" applyFont="1" applyFill="1" applyBorder="1" applyAlignment="1">
      <alignment horizontal="center" vertical="center" wrapText="1"/>
    </xf>
    <xf numFmtId="0" fontId="26" fillId="4" borderId="24" xfId="0" applyFont="1" applyFill="1" applyBorder="1" applyAlignment="1">
      <alignment horizontal="center" vertical="center" wrapText="1"/>
    </xf>
    <xf numFmtId="0" fontId="27" fillId="3" borderId="25" xfId="0" applyFont="1" applyFill="1" applyBorder="1" applyAlignment="1">
      <alignment horizontal="left" vertical="center" wrapText="1"/>
    </xf>
    <xf numFmtId="0" fontId="27" fillId="4" borderId="22" xfId="0" applyFont="1" applyFill="1" applyBorder="1" applyAlignment="1">
      <alignment horizontal="center" vertical="center" wrapText="1"/>
    </xf>
    <xf numFmtId="0" fontId="27" fillId="3" borderId="22" xfId="0" applyFont="1" applyFill="1" applyBorder="1" applyAlignment="1">
      <alignment horizontal="left" vertical="center" wrapText="1"/>
    </xf>
    <xf numFmtId="0" fontId="27" fillId="3" borderId="22" xfId="0" applyFont="1" applyFill="1" applyBorder="1" applyAlignment="1">
      <alignment horizontal="center" vertical="center" wrapText="1"/>
    </xf>
    <xf numFmtId="0" fontId="27" fillId="4" borderId="25" xfId="0" applyFont="1" applyFill="1" applyBorder="1" applyAlignment="1">
      <alignment horizontal="center" vertical="center" wrapText="1"/>
    </xf>
    <xf numFmtId="0" fontId="28" fillId="0" borderId="2" xfId="0" applyFont="1" applyBorder="1" applyAlignment="1">
      <alignment horizontal="left" vertical="center" wrapText="1"/>
    </xf>
    <xf numFmtId="0" fontId="24" fillId="0" borderId="2" xfId="0" applyFont="1" applyBorder="1" applyAlignment="1">
      <alignment horizontal="center" vertical="center" wrapText="1"/>
    </xf>
    <xf numFmtId="0" fontId="8" fillId="0" borderId="2" xfId="0" applyFont="1" applyBorder="1" applyAlignment="1">
      <alignment horizontal="left" vertical="center" wrapText="1"/>
    </xf>
    <xf numFmtId="0" fontId="24" fillId="0" borderId="2" xfId="0" applyFont="1" applyBorder="1" applyAlignment="1">
      <alignment horizontal="left" vertical="center" wrapText="1"/>
    </xf>
    <xf numFmtId="9" fontId="24" fillId="0" borderId="2" xfId="0" applyNumberFormat="1" applyFont="1" applyBorder="1" applyAlignment="1">
      <alignment horizontal="center" vertical="center" wrapText="1"/>
    </xf>
    <xf numFmtId="0" fontId="29" fillId="0" borderId="2" xfId="0" applyFont="1" applyBorder="1" applyAlignment="1">
      <alignment horizontal="left" vertical="center" wrapText="1"/>
    </xf>
    <xf numFmtId="0" fontId="8" fillId="0" borderId="0" xfId="0" applyFont="1" applyAlignment="1">
      <alignment horizontal="center" vertical="center" wrapText="1"/>
    </xf>
    <xf numFmtId="0" fontId="30" fillId="0" borderId="2" xfId="0" applyFont="1" applyBorder="1" applyAlignment="1">
      <alignment vertical="center" wrapText="1"/>
    </xf>
    <xf numFmtId="0" fontId="29" fillId="0" borderId="2" xfId="0" applyFont="1" applyBorder="1" applyAlignment="1">
      <alignment vertical="center" wrapText="1"/>
    </xf>
    <xf numFmtId="0" fontId="29" fillId="0" borderId="2" xfId="0" applyFont="1" applyBorder="1" applyAlignment="1">
      <alignment horizontal="center" vertical="center" wrapText="1"/>
    </xf>
    <xf numFmtId="0" fontId="31" fillId="0" borderId="28" xfId="0" applyFont="1" applyBorder="1" applyAlignment="1">
      <alignment horizontal="left" vertical="center" wrapText="1"/>
    </xf>
    <xf numFmtId="0" fontId="29" fillId="0" borderId="28" xfId="0" applyFont="1" applyBorder="1" applyAlignment="1">
      <alignment horizontal="center" vertical="center" wrapText="1"/>
    </xf>
    <xf numFmtId="0" fontId="29" fillId="0" borderId="28" xfId="0" applyFont="1" applyBorder="1" applyAlignment="1">
      <alignment horizontal="left" vertical="center" wrapText="1"/>
    </xf>
    <xf numFmtId="0" fontId="24" fillId="0" borderId="28" xfId="0" applyFont="1" applyBorder="1" applyAlignment="1">
      <alignment horizontal="center" vertical="center" wrapText="1"/>
    </xf>
    <xf numFmtId="0" fontId="29" fillId="0" borderId="0" xfId="0" applyFont="1" applyAlignment="1">
      <alignment horizontal="center" vertical="center" wrapText="1"/>
    </xf>
    <xf numFmtId="0" fontId="31" fillId="0" borderId="2" xfId="0" applyFont="1" applyBorder="1" applyAlignment="1">
      <alignment horizontal="left" vertical="center" wrapText="1"/>
    </xf>
    <xf numFmtId="0" fontId="17" fillId="5" borderId="26" xfId="0" applyFont="1" applyFill="1" applyBorder="1" applyAlignment="1">
      <alignment vertical="center"/>
    </xf>
    <xf numFmtId="0" fontId="17" fillId="5" borderId="27" xfId="0" applyFont="1" applyFill="1" applyBorder="1" applyAlignment="1">
      <alignment vertical="center"/>
    </xf>
    <xf numFmtId="0" fontId="17" fillId="5" borderId="24" xfId="0" applyFont="1" applyFill="1" applyBorder="1" applyAlignment="1">
      <alignment vertical="center"/>
    </xf>
    <xf numFmtId="0" fontId="29" fillId="6" borderId="2" xfId="0" applyFont="1" applyFill="1" applyBorder="1" applyAlignment="1">
      <alignment vertical="center" wrapText="1"/>
    </xf>
    <xf numFmtId="0" fontId="32" fillId="0" borderId="2" xfId="0" applyFont="1" applyBorder="1"/>
    <xf numFmtId="0" fontId="33" fillId="0" borderId="2" xfId="0" applyFont="1" applyBorder="1" applyAlignment="1">
      <alignment vertical="center" wrapText="1"/>
    </xf>
    <xf numFmtId="0" fontId="34" fillId="0" borderId="2" xfId="0" applyFont="1" applyBorder="1" applyAlignment="1">
      <alignment vertical="center"/>
    </xf>
    <xf numFmtId="0" fontId="32" fillId="0" borderId="0" xfId="0" applyFont="1"/>
    <xf numFmtId="0" fontId="29" fillId="0" borderId="2" xfId="0" applyFont="1" applyBorder="1"/>
    <xf numFmtId="0" fontId="33" fillId="0" borderId="2" xfId="0" applyFont="1" applyBorder="1" applyAlignment="1">
      <alignment horizontal="right" vertical="center" wrapText="1"/>
    </xf>
    <xf numFmtId="14" fontId="33" fillId="0" borderId="2" xfId="0" applyNumberFormat="1" applyFont="1" applyBorder="1" applyAlignment="1">
      <alignment vertical="center" wrapText="1"/>
    </xf>
    <xf numFmtId="9" fontId="22" fillId="0" borderId="2" xfId="0" applyNumberFormat="1" applyFont="1" applyBorder="1" applyAlignment="1">
      <alignment vertical="center" wrapText="1"/>
    </xf>
    <xf numFmtId="0" fontId="29" fillId="0" borderId="2" xfId="0" applyFont="1" applyBorder="1" applyAlignment="1">
      <alignment wrapText="1"/>
    </xf>
    <xf numFmtId="0" fontId="29" fillId="12" borderId="2" xfId="0" applyFont="1" applyFill="1" applyBorder="1" applyAlignment="1">
      <alignment vertical="center" wrapText="1"/>
    </xf>
    <xf numFmtId="0" fontId="32" fillId="12" borderId="2" xfId="0" applyFont="1" applyFill="1" applyBorder="1"/>
    <xf numFmtId="0" fontId="33" fillId="12" borderId="2" xfId="0" applyFont="1" applyFill="1" applyBorder="1" applyAlignment="1">
      <alignment vertical="center" wrapText="1"/>
    </xf>
    <xf numFmtId="0" fontId="29" fillId="12" borderId="2" xfId="0" applyFont="1" applyFill="1" applyBorder="1" applyAlignment="1">
      <alignment wrapText="1"/>
    </xf>
    <xf numFmtId="0" fontId="35" fillId="12" borderId="2" xfId="0" applyFont="1" applyFill="1" applyBorder="1"/>
    <xf numFmtId="0" fontId="36" fillId="12" borderId="2" xfId="0" applyFont="1" applyFill="1" applyBorder="1" applyAlignment="1">
      <alignment wrapText="1"/>
    </xf>
    <xf numFmtId="0" fontId="35" fillId="12" borderId="2" xfId="0" applyFont="1" applyFill="1" applyBorder="1" applyAlignment="1">
      <alignment wrapText="1"/>
    </xf>
    <xf numFmtId="0" fontId="29" fillId="12" borderId="2" xfId="0" applyFont="1" applyFill="1" applyBorder="1"/>
    <xf numFmtId="0" fontId="32" fillId="0" borderId="2" xfId="0" applyFont="1" applyBorder="1" applyAlignment="1">
      <alignment vertical="center" wrapText="1"/>
    </xf>
    <xf numFmtId="0" fontId="29" fillId="0" borderId="2" xfId="0" applyFont="1" applyBorder="1" applyAlignment="1">
      <alignment vertical="center"/>
    </xf>
    <xf numFmtId="0" fontId="38" fillId="0" borderId="2" xfId="0" applyFont="1" applyBorder="1"/>
    <xf numFmtId="0" fontId="33" fillId="0" borderId="2" xfId="0" applyFont="1" applyBorder="1" applyAlignment="1">
      <alignment horizontal="left" vertical="center" wrapText="1"/>
    </xf>
    <xf numFmtId="0" fontId="33" fillId="13" borderId="2" xfId="0" applyFont="1" applyFill="1" applyBorder="1" applyAlignment="1">
      <alignment vertical="center" wrapText="1"/>
    </xf>
    <xf numFmtId="0" fontId="32" fillId="13" borderId="2" xfId="0" applyFont="1" applyFill="1" applyBorder="1"/>
    <xf numFmtId="0" fontId="29" fillId="13" borderId="2" xfId="0" applyFont="1" applyFill="1" applyBorder="1" applyAlignment="1">
      <alignment horizontal="center" vertical="center" wrapText="1"/>
    </xf>
    <xf numFmtId="0" fontId="38" fillId="13" borderId="2" xfId="0" applyFont="1" applyFill="1" applyBorder="1"/>
    <xf numFmtId="0" fontId="29" fillId="13" borderId="2" xfId="0" applyFont="1" applyFill="1" applyBorder="1" applyAlignment="1">
      <alignment vertical="center" wrapText="1"/>
    </xf>
    <xf numFmtId="0" fontId="33" fillId="0" borderId="28" xfId="0" applyFont="1" applyBorder="1" applyAlignment="1">
      <alignment horizontal="center" vertical="center" wrapText="1"/>
    </xf>
    <xf numFmtId="0" fontId="32" fillId="0" borderId="29" xfId="0" applyFont="1" applyBorder="1"/>
    <xf numFmtId="0" fontId="39" fillId="0" borderId="1" xfId="0" applyFont="1" applyBorder="1" applyAlignment="1">
      <alignment vertical="center" wrapText="1"/>
    </xf>
    <xf numFmtId="0" fontId="32" fillId="0" borderId="30" xfId="0" applyFont="1" applyBorder="1"/>
    <xf numFmtId="0" fontId="39" fillId="0" borderId="0" xfId="0" applyFont="1" applyAlignment="1">
      <alignment horizontal="left" vertical="center" wrapText="1"/>
    </xf>
    <xf numFmtId="0" fontId="29" fillId="14" borderId="2" xfId="0" applyFont="1" applyFill="1" applyBorder="1" applyAlignment="1">
      <alignment horizontal="center" vertical="center" wrapText="1"/>
    </xf>
    <xf numFmtId="0" fontId="32" fillId="14" borderId="2" xfId="0" applyFont="1" applyFill="1" applyBorder="1" applyAlignment="1">
      <alignment horizontal="center" vertical="center"/>
    </xf>
    <xf numFmtId="0" fontId="34" fillId="14" borderId="31" xfId="3" applyFont="1" applyFill="1" applyBorder="1" applyAlignment="1">
      <alignment horizontal="center" vertical="center" wrapText="1"/>
    </xf>
    <xf numFmtId="0" fontId="32" fillId="14" borderId="31" xfId="3" applyFont="1" applyFill="1" applyBorder="1" applyAlignment="1">
      <alignment horizontal="center" vertical="center" wrapText="1"/>
    </xf>
    <xf numFmtId="0" fontId="34" fillId="0" borderId="31" xfId="3" applyFont="1" applyBorder="1" applyAlignment="1">
      <alignment horizontal="center" vertical="center" wrapText="1"/>
    </xf>
    <xf numFmtId="0" fontId="41" fillId="14" borderId="31" xfId="3" applyFont="1" applyFill="1" applyBorder="1" applyAlignment="1">
      <alignment horizontal="center" vertical="center" wrapText="1"/>
    </xf>
    <xf numFmtId="0" fontId="32" fillId="15" borderId="2" xfId="0" applyFont="1" applyFill="1" applyBorder="1"/>
    <xf numFmtId="0" fontId="33" fillId="14" borderId="2" xfId="0" applyFont="1" applyFill="1" applyBorder="1" applyAlignment="1">
      <alignment horizontal="center" vertical="center" wrapText="1"/>
    </xf>
    <xf numFmtId="0" fontId="34" fillId="0" borderId="2" xfId="3" applyFont="1" applyBorder="1" applyAlignment="1">
      <alignment horizontal="center" vertical="center" wrapText="1"/>
    </xf>
    <xf numFmtId="0" fontId="32" fillId="14" borderId="2" xfId="3" applyFont="1" applyFill="1" applyBorder="1" applyAlignment="1">
      <alignment horizontal="center" vertical="center"/>
    </xf>
    <xf numFmtId="0" fontId="42" fillId="14" borderId="2" xfId="3" applyFont="1" applyFill="1" applyBorder="1" applyAlignment="1">
      <alignment horizontal="center" vertical="center" wrapText="1"/>
    </xf>
    <xf numFmtId="0" fontId="41" fillId="14" borderId="2" xfId="3" applyFont="1" applyFill="1" applyBorder="1" applyAlignment="1">
      <alignment horizontal="center" vertical="center" wrapText="1"/>
    </xf>
    <xf numFmtId="0" fontId="22" fillId="0" borderId="2" xfId="0" applyFont="1" applyBorder="1" applyAlignment="1">
      <alignment horizontal="left" vertical="center" wrapText="1"/>
    </xf>
    <xf numFmtId="0" fontId="0" fillId="0" borderId="2" xfId="0" applyBorder="1" applyAlignment="1">
      <alignment horizontal="left" vertical="center" wrapText="1"/>
    </xf>
    <xf numFmtId="0" fontId="23" fillId="0" borderId="2" xfId="0" applyFont="1" applyBorder="1" applyAlignment="1">
      <alignment horizontal="left" vertical="center" wrapText="1"/>
    </xf>
    <xf numFmtId="9" fontId="23" fillId="0" borderId="2" xfId="0" applyNumberFormat="1" applyFont="1" applyBorder="1" applyAlignment="1">
      <alignment horizontal="left" vertical="center" wrapText="1"/>
    </xf>
    <xf numFmtId="0" fontId="32" fillId="0" borderId="2" xfId="0" applyFont="1" applyBorder="1" applyAlignment="1">
      <alignment horizontal="left" vertical="center" wrapText="1"/>
    </xf>
    <xf numFmtId="0" fontId="0" fillId="0" borderId="0" xfId="0" applyAlignment="1">
      <alignment horizontal="left" vertical="center" wrapText="1"/>
    </xf>
    <xf numFmtId="9" fontId="22" fillId="0" borderId="2" xfId="0" applyNumberFormat="1" applyFont="1" applyBorder="1" applyAlignment="1">
      <alignment horizontal="left" vertical="center" wrapText="1"/>
    </xf>
    <xf numFmtId="0" fontId="0" fillId="0" borderId="35" xfId="0" applyBorder="1"/>
    <xf numFmtId="0" fontId="32" fillId="0" borderId="36" xfId="0" applyFont="1" applyBorder="1"/>
    <xf numFmtId="0" fontId="29" fillId="0" borderId="30" xfId="0" applyFont="1" applyBorder="1" applyAlignment="1">
      <alignment vertical="center" wrapText="1"/>
    </xf>
    <xf numFmtId="49" fontId="29" fillId="0" borderId="2" xfId="0" applyNumberFormat="1" applyFont="1" applyBorder="1" applyAlignment="1">
      <alignment horizontal="center" vertical="center" wrapText="1"/>
    </xf>
    <xf numFmtId="0" fontId="29" fillId="0" borderId="2" xfId="0" applyFont="1" applyBorder="1" applyAlignment="1">
      <alignment horizontal="left" vertical="top" wrapText="1"/>
    </xf>
    <xf numFmtId="0" fontId="29" fillId="0" borderId="37" xfId="0" applyFont="1" applyBorder="1" applyAlignment="1">
      <alignment horizontal="left" vertical="center" wrapText="1"/>
    </xf>
    <xf numFmtId="0" fontId="29" fillId="0" borderId="38" xfId="0" applyFont="1" applyBorder="1" applyAlignment="1">
      <alignment vertical="center" wrapText="1"/>
    </xf>
    <xf numFmtId="0" fontId="29" fillId="0" borderId="39" xfId="0" applyFont="1" applyBorder="1" applyAlignment="1">
      <alignment vertical="center" wrapText="1"/>
    </xf>
    <xf numFmtId="0" fontId="29" fillId="0" borderId="39" xfId="0" applyFont="1" applyBorder="1" applyAlignment="1">
      <alignment horizontal="left" vertical="center" wrapText="1"/>
    </xf>
    <xf numFmtId="0" fontId="29" fillId="0" borderId="39" xfId="0" applyFont="1" applyBorder="1" applyAlignment="1">
      <alignment horizontal="center" vertical="center" wrapText="1"/>
    </xf>
    <xf numFmtId="49" fontId="29" fillId="0" borderId="39" xfId="0" applyNumberFormat="1" applyFont="1" applyBorder="1" applyAlignment="1">
      <alignment horizontal="center" vertical="center" wrapText="1"/>
    </xf>
    <xf numFmtId="0" fontId="29" fillId="0" borderId="39" xfId="0" applyFont="1" applyBorder="1" applyAlignment="1">
      <alignment vertical="top" wrapText="1"/>
    </xf>
    <xf numFmtId="0" fontId="29" fillId="0" borderId="40" xfId="0" applyFont="1" applyBorder="1" applyAlignment="1">
      <alignment horizontal="left" vertical="center" wrapText="1"/>
    </xf>
    <xf numFmtId="0" fontId="32" fillId="0" borderId="27" xfId="0" applyFont="1" applyBorder="1"/>
    <xf numFmtId="0" fontId="0" fillId="0" borderId="0" xfId="0" applyAlignment="1">
      <alignment horizontal="center"/>
    </xf>
    <xf numFmtId="0" fontId="33" fillId="0" borderId="2" xfId="0" applyFont="1" applyBorder="1" applyAlignment="1">
      <alignment horizontal="center" vertical="center" wrapText="1"/>
    </xf>
    <xf numFmtId="0" fontId="32" fillId="0" borderId="2" xfId="0" applyFont="1" applyBorder="1" applyAlignment="1">
      <alignment wrapText="1"/>
    </xf>
    <xf numFmtId="0" fontId="45" fillId="0" borderId="2" xfId="0" applyFont="1" applyBorder="1" applyAlignment="1">
      <alignment vertical="center" wrapText="1"/>
    </xf>
    <xf numFmtId="0" fontId="29" fillId="0" borderId="2" xfId="0" applyFont="1" applyBorder="1" applyAlignment="1">
      <alignment horizontal="center" vertical="center"/>
    </xf>
    <xf numFmtId="0" fontId="32" fillId="0" borderId="41" xfId="0" applyFont="1" applyBorder="1"/>
    <xf numFmtId="0" fontId="29" fillId="0" borderId="0" xfId="0" applyFont="1" applyAlignment="1">
      <alignment vertical="center" wrapText="1"/>
    </xf>
    <xf numFmtId="0" fontId="33" fillId="0" borderId="0" xfId="0" applyFont="1" applyAlignment="1">
      <alignment vertical="center" wrapText="1"/>
    </xf>
    <xf numFmtId="0" fontId="33" fillId="0" borderId="0" xfId="0" applyFont="1" applyAlignment="1">
      <alignment horizontal="center" vertical="center" wrapText="1"/>
    </xf>
    <xf numFmtId="0" fontId="29" fillId="0" borderId="0" xfId="0" applyFont="1" applyAlignment="1">
      <alignment horizontal="center" vertical="center"/>
    </xf>
    <xf numFmtId="0" fontId="32" fillId="0" borderId="0" xfId="0" applyFont="1" applyAlignment="1">
      <alignment wrapText="1"/>
    </xf>
    <xf numFmtId="0" fontId="33" fillId="0" borderId="0" xfId="0" applyFont="1" applyAlignment="1">
      <alignment horizontal="left" vertical="center" wrapText="1"/>
    </xf>
    <xf numFmtId="0" fontId="32" fillId="0" borderId="0" xfId="0" applyFont="1" applyAlignment="1">
      <alignment horizontal="center" wrapText="1"/>
    </xf>
    <xf numFmtId="0" fontId="20" fillId="4" borderId="27" xfId="0" applyFont="1" applyFill="1" applyBorder="1" applyAlignment="1">
      <alignment horizontal="center" vertical="center" wrapText="1"/>
    </xf>
    <xf numFmtId="0" fontId="46" fillId="4" borderId="2" xfId="0" applyFont="1" applyFill="1" applyBorder="1" applyAlignment="1">
      <alignment horizontal="center" vertical="center" wrapText="1"/>
    </xf>
    <xf numFmtId="0" fontId="47" fillId="16" borderId="0" xfId="0" applyFont="1" applyFill="1"/>
    <xf numFmtId="0" fontId="22" fillId="14" borderId="2" xfId="0" applyFont="1" applyFill="1" applyBorder="1" applyAlignment="1">
      <alignment vertical="center" wrapText="1"/>
    </xf>
    <xf numFmtId="0" fontId="48" fillId="0" borderId="2" xfId="0" applyFont="1" applyBorder="1" applyAlignment="1">
      <alignment vertical="center" wrapText="1"/>
    </xf>
    <xf numFmtId="3" fontId="33" fillId="0" borderId="2" xfId="0" applyNumberFormat="1" applyFont="1" applyBorder="1" applyAlignment="1">
      <alignment vertical="center" wrapText="1"/>
    </xf>
    <xf numFmtId="0" fontId="49" fillId="0" borderId="2" xfId="0" applyFont="1" applyBorder="1" applyAlignment="1">
      <alignment wrapText="1"/>
    </xf>
    <xf numFmtId="0" fontId="50" fillId="0" borderId="2" xfId="0" applyFont="1" applyBorder="1" applyAlignment="1">
      <alignment vertical="center" wrapText="1"/>
    </xf>
    <xf numFmtId="0" fontId="32" fillId="0" borderId="2" xfId="0" applyFont="1" applyBorder="1" applyAlignment="1">
      <alignment horizontal="right" vertical="center" wrapText="1"/>
    </xf>
    <xf numFmtId="3" fontId="33" fillId="17" borderId="2" xfId="0" applyNumberFormat="1" applyFont="1" applyFill="1" applyBorder="1" applyAlignment="1">
      <alignment vertical="center" wrapText="1"/>
    </xf>
    <xf numFmtId="0" fontId="50" fillId="0" borderId="2" xfId="0"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wrapText="1"/>
    </xf>
    <xf numFmtId="0" fontId="52" fillId="0" borderId="2" xfId="0" applyFont="1" applyBorder="1" applyAlignment="1">
      <alignment horizontal="center" vertical="center" wrapText="1"/>
    </xf>
    <xf numFmtId="0" fontId="22" fillId="0" borderId="2" xfId="0" applyFont="1" applyBorder="1" applyAlignment="1">
      <alignment horizontal="right" vertical="center" wrapText="1"/>
    </xf>
    <xf numFmtId="0" fontId="0" fillId="0" borderId="31" xfId="0" applyBorder="1" applyAlignment="1">
      <alignment horizontal="right" vertical="center" wrapText="1"/>
    </xf>
    <xf numFmtId="165" fontId="23" fillId="0" borderId="2" xfId="4" applyFont="1" applyFill="1" applyBorder="1" applyAlignment="1">
      <alignment horizontal="right" vertical="center" wrapText="1"/>
    </xf>
    <xf numFmtId="0" fontId="32" fillId="0" borderId="31" xfId="0" applyFont="1" applyBorder="1" applyAlignment="1">
      <alignment horizontal="right" vertical="center" wrapText="1"/>
    </xf>
    <xf numFmtId="0" fontId="0" fillId="0" borderId="2" xfId="0" applyBorder="1" applyAlignment="1">
      <alignment horizontal="right" wrapText="1"/>
    </xf>
    <xf numFmtId="0" fontId="0" fillId="0" borderId="2" xfId="0" applyBorder="1" applyAlignment="1">
      <alignment vertical="center" wrapText="1"/>
    </xf>
    <xf numFmtId="3" fontId="24" fillId="0" borderId="2" xfId="0" applyNumberFormat="1" applyFont="1" applyBorder="1" applyAlignment="1">
      <alignment horizontal="right" vertical="center" wrapText="1"/>
    </xf>
    <xf numFmtId="3" fontId="23" fillId="0" borderId="2" xfId="0" applyNumberFormat="1" applyFont="1" applyBorder="1" applyAlignment="1">
      <alignment vertical="center" wrapText="1"/>
    </xf>
    <xf numFmtId="166" fontId="33" fillId="0" borderId="2" xfId="4" applyNumberFormat="1" applyFont="1" applyFill="1" applyBorder="1" applyAlignment="1">
      <alignment horizontal="right" vertical="center" wrapText="1"/>
    </xf>
    <xf numFmtId="0" fontId="52" fillId="0" borderId="2" xfId="0" applyFont="1" applyBorder="1" applyAlignment="1">
      <alignment horizontal="right" vertical="center" wrapText="1"/>
    </xf>
    <xf numFmtId="0" fontId="0" fillId="0" borderId="31" xfId="0" applyBorder="1" applyAlignment="1">
      <alignment wrapText="1"/>
    </xf>
    <xf numFmtId="0" fontId="32" fillId="0" borderId="31" xfId="0" applyFont="1" applyBorder="1" applyAlignment="1">
      <alignment wrapText="1"/>
    </xf>
    <xf numFmtId="0" fontId="33" fillId="0" borderId="28" xfId="0" applyFont="1" applyBorder="1" applyAlignment="1">
      <alignment vertical="center" wrapText="1"/>
    </xf>
    <xf numFmtId="166" fontId="33" fillId="0" borderId="28" xfId="4" applyNumberFormat="1" applyFont="1" applyFill="1" applyBorder="1" applyAlignment="1">
      <alignment horizontal="right" vertical="center" wrapText="1"/>
    </xf>
    <xf numFmtId="0" fontId="23" fillId="0" borderId="28" xfId="0" applyFont="1" applyBorder="1" applyAlignment="1">
      <alignment vertical="center" wrapText="1"/>
    </xf>
    <xf numFmtId="0" fontId="0" fillId="0" borderId="28" xfId="0" applyBorder="1" applyAlignment="1">
      <alignment wrapText="1"/>
    </xf>
    <xf numFmtId="3" fontId="52" fillId="0" borderId="2" xfId="0" applyNumberFormat="1" applyFont="1" applyBorder="1" applyAlignment="1">
      <alignment horizontal="right" vertical="center" wrapText="1"/>
    </xf>
    <xf numFmtId="0" fontId="32" fillId="0" borderId="0" xfId="0" applyFont="1" applyAlignment="1">
      <alignment vertical="center" wrapText="1"/>
    </xf>
    <xf numFmtId="3" fontId="33" fillId="0" borderId="28" xfId="0" applyNumberFormat="1" applyFont="1" applyBorder="1" applyAlignment="1">
      <alignment vertical="center" wrapText="1"/>
    </xf>
    <xf numFmtId="0" fontId="22" fillId="0" borderId="28" xfId="0" applyFont="1" applyBorder="1" applyAlignment="1">
      <alignment vertical="center" wrapText="1"/>
    </xf>
    <xf numFmtId="0" fontId="48" fillId="0" borderId="0" xfId="0" applyFont="1" applyAlignment="1">
      <alignment wrapText="1"/>
    </xf>
    <xf numFmtId="0" fontId="32" fillId="0" borderId="28" xfId="0" applyFont="1" applyBorder="1" applyAlignment="1">
      <alignment vertical="center" wrapText="1"/>
    </xf>
    <xf numFmtId="165" fontId="33" fillId="0" borderId="2" xfId="4" applyFont="1" applyBorder="1" applyAlignment="1">
      <alignment vertical="center" wrapText="1"/>
    </xf>
    <xf numFmtId="0" fontId="33" fillId="14" borderId="2" xfId="0" applyFont="1" applyFill="1" applyBorder="1" applyAlignment="1">
      <alignment vertical="center" wrapText="1"/>
    </xf>
    <xf numFmtId="0" fontId="33" fillId="14" borderId="2" xfId="0" applyFont="1" applyFill="1" applyBorder="1" applyAlignment="1">
      <alignment vertical="top" wrapText="1"/>
    </xf>
    <xf numFmtId="0" fontId="33" fillId="14" borderId="2" xfId="0" applyFont="1" applyFill="1" applyBorder="1" applyAlignment="1">
      <alignment horizontal="left" vertical="top" wrapText="1"/>
    </xf>
    <xf numFmtId="0" fontId="2" fillId="0" borderId="0" xfId="0" applyFont="1"/>
    <xf numFmtId="0" fontId="21" fillId="3" borderId="23" xfId="0" applyFont="1" applyFill="1" applyBorder="1" applyAlignment="1">
      <alignment vertical="center" wrapText="1"/>
    </xf>
    <xf numFmtId="0" fontId="21" fillId="4" borderId="24" xfId="0" applyFont="1" applyFill="1" applyBorder="1" applyAlignment="1">
      <alignment vertical="center" wrapText="1"/>
    </xf>
    <xf numFmtId="0" fontId="21" fillId="3" borderId="24" xfId="0" applyFont="1" applyFill="1" applyBorder="1" applyAlignment="1">
      <alignment vertical="center" wrapText="1"/>
    </xf>
    <xf numFmtId="0" fontId="21" fillId="4" borderId="24" xfId="0" applyFont="1" applyFill="1" applyBorder="1" applyAlignment="1">
      <alignment horizontal="center" vertical="center" wrapText="1"/>
    </xf>
    <xf numFmtId="0" fontId="21" fillId="3" borderId="24" xfId="0" applyFont="1" applyFill="1" applyBorder="1" applyAlignment="1">
      <alignment horizontal="center" vertical="center" wrapText="1"/>
    </xf>
    <xf numFmtId="0" fontId="21" fillId="4" borderId="23" xfId="0" applyFont="1" applyFill="1" applyBorder="1" applyAlignment="1">
      <alignment vertical="center" wrapText="1"/>
    </xf>
    <xf numFmtId="0" fontId="17" fillId="18" borderId="1" xfId="0" applyFont="1" applyFill="1" applyBorder="1" applyAlignment="1">
      <alignment vertical="center" wrapText="1"/>
    </xf>
    <xf numFmtId="0" fontId="21" fillId="18" borderId="1" xfId="0" applyFont="1" applyFill="1" applyBorder="1" applyAlignment="1">
      <alignment vertical="center" wrapText="1"/>
    </xf>
    <xf numFmtId="0" fontId="21" fillId="4" borderId="0" xfId="0" applyFont="1" applyFill="1" applyAlignment="1">
      <alignment vertical="center" wrapText="1"/>
    </xf>
    <xf numFmtId="0" fontId="17" fillId="19" borderId="3" xfId="0" applyFont="1" applyFill="1" applyBorder="1" applyAlignment="1">
      <alignment horizontal="center" vertical="center" wrapText="1"/>
    </xf>
    <xf numFmtId="0" fontId="21" fillId="19" borderId="0" xfId="0" applyFont="1" applyFill="1" applyAlignment="1">
      <alignment vertical="center" wrapText="1"/>
    </xf>
    <xf numFmtId="0" fontId="21" fillId="19" borderId="4" xfId="0" applyFont="1" applyFill="1" applyBorder="1" applyAlignment="1">
      <alignment vertical="center" wrapText="1"/>
    </xf>
    <xf numFmtId="0" fontId="21" fillId="19" borderId="18" xfId="0" applyFont="1" applyFill="1" applyBorder="1" applyAlignment="1">
      <alignment vertical="center" wrapText="1"/>
    </xf>
    <xf numFmtId="0" fontId="21" fillId="19" borderId="43" xfId="0" applyFont="1" applyFill="1" applyBorder="1" applyAlignment="1">
      <alignment vertical="center" wrapText="1"/>
    </xf>
    <xf numFmtId="0" fontId="21" fillId="19" borderId="44" xfId="0" applyFont="1" applyFill="1" applyBorder="1" applyAlignment="1">
      <alignment vertical="center" wrapText="1"/>
    </xf>
    <xf numFmtId="0" fontId="29" fillId="6" borderId="3" xfId="0" applyFont="1" applyFill="1" applyBorder="1" applyAlignment="1">
      <alignment horizontal="center" vertical="center" wrapText="1"/>
    </xf>
    <xf numFmtId="0" fontId="55" fillId="6" borderId="2" xfId="0" applyFont="1" applyFill="1" applyBorder="1" applyAlignment="1">
      <alignment horizontal="left" vertical="center" wrapText="1"/>
    </xf>
    <xf numFmtId="0" fontId="22" fillId="6" borderId="6" xfId="0" applyFont="1" applyFill="1" applyBorder="1" applyAlignment="1">
      <alignment vertical="center" wrapText="1"/>
    </xf>
    <xf numFmtId="0" fontId="21" fillId="6" borderId="6" xfId="0" applyFont="1" applyFill="1" applyBorder="1" applyAlignment="1">
      <alignment vertical="center" wrapText="1"/>
    </xf>
    <xf numFmtId="0" fontId="21" fillId="6" borderId="6" xfId="0" applyFont="1" applyFill="1" applyBorder="1" applyAlignment="1">
      <alignment horizontal="center" vertical="center" wrapText="1"/>
    </xf>
    <xf numFmtId="0" fontId="22" fillId="6" borderId="1" xfId="0" applyFont="1" applyFill="1" applyBorder="1" applyAlignment="1">
      <alignment vertical="center" wrapText="1"/>
    </xf>
    <xf numFmtId="0" fontId="21" fillId="6" borderId="1" xfId="0" applyFont="1" applyFill="1" applyBorder="1" applyAlignment="1">
      <alignment vertical="center" wrapText="1"/>
    </xf>
    <xf numFmtId="0" fontId="17" fillId="19" borderId="0" xfId="0" applyFont="1" applyFill="1" applyAlignment="1">
      <alignment horizontal="left" vertical="center" wrapText="1"/>
    </xf>
    <xf numFmtId="0" fontId="56" fillId="19" borderId="31" xfId="0" applyFont="1" applyFill="1" applyBorder="1" applyAlignment="1">
      <alignment horizontal="left" vertical="center" wrapText="1"/>
    </xf>
    <xf numFmtId="0" fontId="17" fillId="19" borderId="36" xfId="0" applyFont="1" applyFill="1" applyBorder="1" applyAlignment="1">
      <alignment horizontal="left" vertical="center" wrapText="1"/>
    </xf>
    <xf numFmtId="0" fontId="0" fillId="6" borderId="0" xfId="0" applyFill="1"/>
    <xf numFmtId="0" fontId="32" fillId="6" borderId="0" xfId="0" applyFont="1" applyFill="1"/>
    <xf numFmtId="0" fontId="32" fillId="6" borderId="2" xfId="0" applyFont="1" applyFill="1" applyBorder="1"/>
    <xf numFmtId="0" fontId="55" fillId="6" borderId="0" xfId="0" applyFont="1" applyFill="1" applyAlignment="1">
      <alignment horizontal="center"/>
    </xf>
    <xf numFmtId="0" fontId="55" fillId="6" borderId="2" xfId="0" applyFont="1" applyFill="1" applyBorder="1" applyAlignment="1">
      <alignment horizontal="center" vertical="center" wrapText="1"/>
    </xf>
    <xf numFmtId="0" fontId="55" fillId="6" borderId="2" xfId="0" applyFont="1" applyFill="1" applyBorder="1" applyAlignment="1">
      <alignment horizontal="center" vertical="center"/>
    </xf>
    <xf numFmtId="0" fontId="58" fillId="6" borderId="28" xfId="0" applyFont="1" applyFill="1" applyBorder="1" applyAlignment="1">
      <alignment horizontal="center" vertical="center" wrapText="1"/>
    </xf>
    <xf numFmtId="0" fontId="32" fillId="5" borderId="0" xfId="0" applyFont="1" applyFill="1"/>
    <xf numFmtId="0" fontId="59" fillId="6" borderId="0" xfId="0" applyFont="1" applyFill="1" applyAlignment="1">
      <alignment horizontal="center" wrapText="1"/>
    </xf>
    <xf numFmtId="0" fontId="55" fillId="6" borderId="28" xfId="0" applyFont="1" applyFill="1" applyBorder="1" applyAlignment="1">
      <alignment horizontal="center" vertical="center"/>
    </xf>
    <xf numFmtId="0" fontId="58" fillId="6" borderId="49" xfId="0" applyFont="1" applyFill="1" applyBorder="1" applyAlignment="1">
      <alignment horizontal="center" vertical="center" wrapText="1"/>
    </xf>
    <xf numFmtId="0" fontId="0" fillId="5" borderId="0" xfId="0" applyFill="1"/>
    <xf numFmtId="0" fontId="55" fillId="6" borderId="3" xfId="0" applyFont="1" applyFill="1" applyBorder="1" applyAlignment="1">
      <alignment vertical="center" wrapText="1"/>
    </xf>
    <xf numFmtId="0" fontId="32" fillId="6" borderId="50" xfId="0" applyFont="1" applyFill="1" applyBorder="1"/>
    <xf numFmtId="0" fontId="55" fillId="6" borderId="50" xfId="0" applyFont="1" applyFill="1" applyBorder="1" applyAlignment="1">
      <alignment horizontal="left" vertical="center" wrapText="1"/>
    </xf>
    <xf numFmtId="0" fontId="55" fillId="6" borderId="50" xfId="0" applyFont="1" applyFill="1" applyBorder="1" applyAlignment="1">
      <alignment horizontal="center"/>
    </xf>
    <xf numFmtId="0" fontId="55" fillId="6" borderId="47" xfId="0" applyFont="1" applyFill="1" applyBorder="1" applyAlignment="1">
      <alignment horizontal="center" vertical="center" wrapText="1"/>
    </xf>
    <xf numFmtId="0" fontId="55" fillId="6" borderId="46" xfId="0" applyFont="1" applyFill="1" applyBorder="1" applyAlignment="1">
      <alignment horizontal="center"/>
    </xf>
    <xf numFmtId="0" fontId="55" fillId="6" borderId="1" xfId="0" applyFont="1" applyFill="1" applyBorder="1" applyAlignment="1">
      <alignment horizontal="center"/>
    </xf>
    <xf numFmtId="0" fontId="55" fillId="6" borderId="6" xfId="0" applyFont="1" applyFill="1" applyBorder="1" applyAlignment="1">
      <alignment horizontal="center"/>
    </xf>
    <xf numFmtId="0" fontId="55" fillId="6" borderId="3" xfId="0" applyFont="1" applyFill="1" applyBorder="1" applyAlignment="1">
      <alignment horizontal="center" vertical="center"/>
    </xf>
    <xf numFmtId="0" fontId="55" fillId="6" borderId="50" xfId="0" applyFont="1" applyFill="1" applyBorder="1" applyAlignment="1">
      <alignment horizontal="center" vertical="center" wrapText="1"/>
    </xf>
    <xf numFmtId="0" fontId="55" fillId="6" borderId="45" xfId="0" applyFont="1" applyFill="1" applyBorder="1" applyAlignment="1">
      <alignment horizontal="center" vertical="center" wrapText="1"/>
    </xf>
    <xf numFmtId="0" fontId="60" fillId="0" borderId="45" xfId="0" applyFont="1" applyBorder="1" applyAlignment="1">
      <alignment horizontal="center" vertical="center" wrapText="1"/>
    </xf>
    <xf numFmtId="0" fontId="32" fillId="6" borderId="28" xfId="0" applyFont="1" applyFill="1" applyBorder="1" applyAlignment="1">
      <alignment horizontal="center" vertical="center" wrapText="1"/>
    </xf>
    <xf numFmtId="0" fontId="32" fillId="6" borderId="31" xfId="0" applyFont="1" applyFill="1" applyBorder="1"/>
    <xf numFmtId="0" fontId="55" fillId="6" borderId="31" xfId="0" applyFont="1" applyFill="1" applyBorder="1" applyAlignment="1">
      <alignment vertical="center" wrapText="1"/>
    </xf>
    <xf numFmtId="0" fontId="55" fillId="6" borderId="31" xfId="0" applyFont="1" applyFill="1" applyBorder="1"/>
    <xf numFmtId="0" fontId="55" fillId="6" borderId="0" xfId="0" applyFont="1" applyFill="1"/>
    <xf numFmtId="0" fontId="55" fillId="6" borderId="1" xfId="0" applyFont="1" applyFill="1" applyBorder="1"/>
    <xf numFmtId="0" fontId="55" fillId="6" borderId="7" xfId="0" applyFont="1" applyFill="1" applyBorder="1" applyAlignment="1">
      <alignment horizontal="center" vertical="center"/>
    </xf>
    <xf numFmtId="0" fontId="55" fillId="6" borderId="31" xfId="0" applyFont="1" applyFill="1" applyBorder="1" applyAlignment="1">
      <alignment horizontal="center" vertical="center" wrapText="1"/>
    </xf>
    <xf numFmtId="0" fontId="55" fillId="6" borderId="51" xfId="0" applyFont="1" applyFill="1" applyBorder="1" applyAlignment="1">
      <alignment horizontal="center" vertical="center" wrapText="1"/>
    </xf>
    <xf numFmtId="0" fontId="55" fillId="6" borderId="1" xfId="0" applyFont="1" applyFill="1" applyBorder="1" applyAlignment="1">
      <alignment horizontal="center" vertical="center" wrapText="1"/>
    </xf>
    <xf numFmtId="0" fontId="60" fillId="0" borderId="52" xfId="0" applyFont="1" applyBorder="1" applyAlignment="1">
      <alignment vertical="center" wrapText="1"/>
    </xf>
    <xf numFmtId="0" fontId="55" fillId="6" borderId="2" xfId="0" applyFont="1" applyFill="1" applyBorder="1" applyAlignment="1">
      <alignment vertical="center" wrapText="1"/>
    </xf>
    <xf numFmtId="0" fontId="58" fillId="6" borderId="2" xfId="0" applyFont="1" applyFill="1" applyBorder="1" applyAlignment="1">
      <alignment vertical="center" wrapText="1"/>
    </xf>
    <xf numFmtId="0" fontId="55" fillId="6" borderId="2" xfId="0" applyFont="1" applyFill="1" applyBorder="1" applyAlignment="1">
      <alignment vertical="center"/>
    </xf>
    <xf numFmtId="0" fontId="55" fillId="20" borderId="2" xfId="0" applyFont="1" applyFill="1" applyBorder="1" applyAlignment="1">
      <alignment vertical="center" wrapText="1"/>
    </xf>
    <xf numFmtId="0" fontId="62" fillId="6" borderId="2" xfId="0" applyFont="1" applyFill="1" applyBorder="1" applyAlignment="1">
      <alignment vertical="center" wrapText="1"/>
    </xf>
    <xf numFmtId="0" fontId="63" fillId="3" borderId="31" xfId="0" applyFont="1" applyFill="1" applyBorder="1" applyAlignment="1">
      <alignment vertical="center" wrapText="1"/>
    </xf>
    <xf numFmtId="0" fontId="55" fillId="6" borderId="0" xfId="0" applyFont="1" applyFill="1" applyAlignment="1">
      <alignment vertical="center"/>
    </xf>
    <xf numFmtId="0" fontId="58"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55" fillId="6" borderId="31" xfId="0" applyFont="1" applyFill="1" applyBorder="1" applyAlignment="1">
      <alignment vertical="center"/>
    </xf>
    <xf numFmtId="0" fontId="55" fillId="0" borderId="31" xfId="0" applyFont="1" applyBorder="1" applyAlignment="1">
      <alignment horizontal="center" vertical="center" wrapText="1"/>
    </xf>
    <xf numFmtId="0" fontId="60" fillId="0" borderId="4" xfId="0" applyFont="1" applyBorder="1" applyAlignment="1">
      <alignment vertical="center" wrapText="1"/>
    </xf>
    <xf numFmtId="0" fontId="32" fillId="6" borderId="28" xfId="0" applyFont="1" applyFill="1" applyBorder="1"/>
    <xf numFmtId="0" fontId="64" fillId="6" borderId="2" xfId="0" applyFont="1" applyFill="1" applyBorder="1" applyAlignment="1">
      <alignment horizontal="left" vertical="center" wrapText="1"/>
    </xf>
    <xf numFmtId="0" fontId="55" fillId="6" borderId="28" xfId="0" applyFont="1" applyFill="1" applyBorder="1" applyAlignment="1">
      <alignment vertical="center" wrapText="1"/>
    </xf>
    <xf numFmtId="0" fontId="58" fillId="6" borderId="28" xfId="0" applyFont="1" applyFill="1" applyBorder="1" applyAlignment="1">
      <alignment vertical="center" wrapText="1"/>
    </xf>
    <xf numFmtId="0" fontId="55" fillId="6" borderId="28" xfId="0" applyFont="1" applyFill="1" applyBorder="1" applyAlignment="1">
      <alignment vertical="center"/>
    </xf>
    <xf numFmtId="0" fontId="55" fillId="20" borderId="2" xfId="0" applyFont="1" applyFill="1" applyBorder="1" applyAlignment="1">
      <alignment horizontal="center" vertical="center" wrapText="1"/>
    </xf>
    <xf numFmtId="0" fontId="62" fillId="6" borderId="28" xfId="0" applyFont="1" applyFill="1" applyBorder="1" applyAlignment="1">
      <alignment vertical="center" wrapText="1"/>
    </xf>
    <xf numFmtId="0" fontId="63" fillId="3" borderId="28" xfId="0" applyFont="1" applyFill="1" applyBorder="1" applyAlignment="1">
      <alignment vertical="center" wrapText="1"/>
    </xf>
    <xf numFmtId="0" fontId="55" fillId="6" borderId="28" xfId="0" applyFont="1" applyFill="1" applyBorder="1" applyAlignment="1">
      <alignment horizontal="center" vertical="center" wrapText="1"/>
    </xf>
    <xf numFmtId="0" fontId="64" fillId="6" borderId="7" xfId="0" applyFont="1" applyFill="1" applyBorder="1" applyAlignment="1">
      <alignment horizontal="center" vertical="center" wrapText="1"/>
    </xf>
    <xf numFmtId="0" fontId="55" fillId="0" borderId="2" xfId="0" applyFont="1" applyBorder="1" applyAlignment="1">
      <alignment horizontal="center" vertical="center" wrapText="1"/>
    </xf>
    <xf numFmtId="0" fontId="25" fillId="19" borderId="31" xfId="0" applyFont="1" applyFill="1" applyBorder="1" applyAlignment="1">
      <alignment vertical="center" wrapText="1"/>
    </xf>
    <xf numFmtId="0" fontId="32" fillId="19" borderId="31" xfId="0" applyFont="1" applyFill="1" applyBorder="1"/>
    <xf numFmtId="0" fontId="65" fillId="19" borderId="0" xfId="0" applyFont="1" applyFill="1" applyAlignment="1">
      <alignment wrapText="1"/>
    </xf>
    <xf numFmtId="0" fontId="32" fillId="19" borderId="53" xfId="0" applyFont="1" applyFill="1" applyBorder="1"/>
    <xf numFmtId="0" fontId="32" fillId="19" borderId="8" xfId="0" applyFont="1" applyFill="1" applyBorder="1" applyAlignment="1">
      <alignment horizontal="center"/>
    </xf>
    <xf numFmtId="0" fontId="32" fillId="19" borderId="9" xfId="0" applyFont="1" applyFill="1" applyBorder="1"/>
    <xf numFmtId="0" fontId="32" fillId="19" borderId="10" xfId="0" applyFont="1" applyFill="1" applyBorder="1"/>
    <xf numFmtId="0" fontId="32" fillId="19" borderId="54" xfId="0" applyFont="1" applyFill="1" applyBorder="1"/>
    <xf numFmtId="0" fontId="59" fillId="0" borderId="2" xfId="0" applyFont="1" applyBorder="1" applyAlignment="1">
      <alignment vertical="center" wrapText="1"/>
    </xf>
    <xf numFmtId="0" fontId="55" fillId="0" borderId="2" xfId="0" applyFont="1" applyBorder="1" applyAlignment="1">
      <alignment horizontal="center" vertical="center"/>
    </xf>
    <xf numFmtId="0" fontId="32" fillId="0" borderId="31" xfId="0" applyFont="1" applyBorder="1"/>
    <xf numFmtId="0" fontId="32" fillId="6" borderId="31" xfId="0" applyFont="1" applyFill="1" applyBorder="1" applyAlignment="1">
      <alignment horizontal="center" vertical="center" wrapText="1"/>
    </xf>
    <xf numFmtId="0" fontId="32" fillId="6" borderId="2" xfId="0" applyFont="1" applyFill="1" applyBorder="1" applyAlignment="1">
      <alignment horizontal="center" vertical="center" wrapText="1"/>
    </xf>
    <xf numFmtId="0" fontId="32" fillId="0" borderId="2" xfId="0" applyFont="1" applyBorder="1" applyAlignment="1">
      <alignment horizontal="center" vertical="center"/>
    </xf>
    <xf numFmtId="0" fontId="55" fillId="0" borderId="2" xfId="0" applyFont="1" applyBorder="1" applyAlignment="1">
      <alignment vertical="center" wrapText="1"/>
    </xf>
    <xf numFmtId="0" fontId="32" fillId="0" borderId="2" xfId="0" applyFont="1" applyBorder="1" applyAlignment="1">
      <alignment horizontal="center"/>
    </xf>
    <xf numFmtId="0" fontId="25" fillId="0" borderId="2" xfId="0" applyFont="1" applyBorder="1" applyAlignment="1">
      <alignment vertical="center" wrapText="1"/>
    </xf>
    <xf numFmtId="0" fontId="25" fillId="0" borderId="55" xfId="0" applyFont="1" applyBorder="1" applyAlignment="1">
      <alignment vertical="center" wrapText="1"/>
    </xf>
    <xf numFmtId="0" fontId="32" fillId="0" borderId="55" xfId="0" applyFont="1" applyBorder="1"/>
    <xf numFmtId="0" fontId="55" fillId="6" borderId="55" xfId="0" applyFont="1" applyFill="1" applyBorder="1" applyAlignment="1">
      <alignment vertical="center" wrapText="1"/>
    </xf>
    <xf numFmtId="0" fontId="59" fillId="0" borderId="56" xfId="0" applyFont="1" applyBorder="1" applyAlignment="1">
      <alignment horizontal="center" vertical="center" wrapText="1"/>
    </xf>
    <xf numFmtId="0" fontId="55" fillId="0" borderId="55" xfId="0" applyFont="1" applyBorder="1" applyAlignment="1">
      <alignment vertical="center" wrapText="1"/>
    </xf>
    <xf numFmtId="0" fontId="55" fillId="0" borderId="55" xfId="0" applyFont="1" applyBorder="1" applyAlignment="1">
      <alignment horizontal="center" vertical="center" wrapText="1"/>
    </xf>
    <xf numFmtId="0" fontId="55" fillId="3" borderId="55" xfId="0" applyFont="1" applyFill="1" applyBorder="1" applyAlignment="1">
      <alignment horizontal="center" vertical="center" wrapText="1"/>
    </xf>
    <xf numFmtId="0" fontId="32" fillId="6" borderId="55" xfId="0" applyFont="1" applyFill="1" applyBorder="1" applyAlignment="1">
      <alignment horizontal="center" vertical="center" wrapText="1"/>
    </xf>
    <xf numFmtId="0" fontId="32" fillId="0" borderId="55" xfId="0" applyFont="1" applyBorder="1" applyAlignment="1">
      <alignment horizontal="center"/>
    </xf>
    <xf numFmtId="0" fontId="19" fillId="19" borderId="31" xfId="0" applyFont="1" applyFill="1" applyBorder="1" applyAlignment="1">
      <alignment vertical="center" wrapText="1"/>
    </xf>
    <xf numFmtId="0" fontId="56" fillId="19" borderId="2" xfId="0" applyFont="1" applyFill="1" applyBorder="1" applyAlignment="1">
      <alignment vertical="center" wrapText="1"/>
    </xf>
    <xf numFmtId="0" fontId="19" fillId="19" borderId="53" xfId="0" applyFont="1" applyFill="1" applyBorder="1" applyAlignment="1">
      <alignment vertical="center" wrapText="1"/>
    </xf>
    <xf numFmtId="0" fontId="19" fillId="19" borderId="3" xfId="0" applyFont="1" applyFill="1" applyBorder="1" applyAlignment="1">
      <alignment horizontal="center" vertical="center" wrapText="1"/>
    </xf>
    <xf numFmtId="0" fontId="19" fillId="19" borderId="54" xfId="0" applyFont="1" applyFill="1" applyBorder="1" applyAlignment="1">
      <alignment vertical="center" wrapText="1"/>
    </xf>
    <xf numFmtId="0" fontId="32" fillId="6" borderId="2" xfId="0" applyFont="1" applyFill="1" applyBorder="1" applyAlignment="1">
      <alignment horizontal="center" wrapText="1"/>
    </xf>
    <xf numFmtId="0" fontId="59" fillId="0" borderId="46" xfId="0" applyFont="1" applyBorder="1" applyAlignment="1">
      <alignment horizontal="center" vertical="center" wrapText="1"/>
    </xf>
    <xf numFmtId="0" fontId="55" fillId="0" borderId="2" xfId="0" applyFont="1" applyBorder="1" applyAlignment="1">
      <alignment horizontal="left" vertical="center" wrapText="1"/>
    </xf>
    <xf numFmtId="0" fontId="55" fillId="0" borderId="2" xfId="0" applyFont="1" applyBorder="1"/>
    <xf numFmtId="0" fontId="32" fillId="6" borderId="2" xfId="0" applyFont="1" applyFill="1" applyBorder="1" applyAlignment="1">
      <alignment wrapText="1"/>
    </xf>
    <xf numFmtId="0" fontId="55" fillId="3" borderId="2" xfId="0" applyFont="1" applyFill="1" applyBorder="1" applyAlignment="1">
      <alignment vertical="center" wrapText="1"/>
    </xf>
    <xf numFmtId="0" fontId="55" fillId="0" borderId="2" xfId="0" applyFont="1" applyBorder="1" applyAlignment="1">
      <alignment wrapText="1"/>
    </xf>
    <xf numFmtId="0" fontId="22" fillId="0" borderId="25" xfId="0" applyFont="1" applyBorder="1" applyAlignment="1">
      <alignment vertical="center" wrapText="1"/>
    </xf>
    <xf numFmtId="16" fontId="22" fillId="0" borderId="25" xfId="0" applyNumberFormat="1" applyFont="1" applyBorder="1" applyAlignment="1">
      <alignment vertical="center" wrapText="1"/>
    </xf>
    <xf numFmtId="0" fontId="22" fillId="0" borderId="57" xfId="0" applyFont="1" applyBorder="1" applyAlignment="1">
      <alignment vertical="center" wrapText="1"/>
    </xf>
    <xf numFmtId="0" fontId="23" fillId="0" borderId="25" xfId="0" applyFont="1" applyBorder="1" applyAlignment="1">
      <alignment vertical="center" wrapText="1"/>
    </xf>
    <xf numFmtId="16" fontId="22" fillId="0" borderId="57" xfId="0" applyNumberFormat="1" applyFont="1" applyBorder="1" applyAlignment="1">
      <alignment vertical="center" wrapText="1"/>
    </xf>
    <xf numFmtId="0" fontId="23" fillId="0" borderId="57" xfId="0" applyFont="1" applyBorder="1" applyAlignment="1">
      <alignment vertical="center" wrapText="1"/>
    </xf>
    <xf numFmtId="0" fontId="23" fillId="0" borderId="0" xfId="0" applyFont="1" applyAlignment="1">
      <alignment vertical="center" wrapText="1"/>
    </xf>
    <xf numFmtId="0" fontId="24" fillId="0" borderId="0" xfId="0" applyFont="1"/>
    <xf numFmtId="0" fontId="27" fillId="3" borderId="25" xfId="0" applyFont="1" applyFill="1" applyBorder="1" applyAlignment="1">
      <alignment vertical="center" wrapText="1"/>
    </xf>
    <xf numFmtId="0" fontId="27" fillId="4" borderId="22" xfId="0" applyFont="1" applyFill="1" applyBorder="1" applyAlignment="1">
      <alignment vertical="center" wrapText="1"/>
    </xf>
    <xf numFmtId="0" fontId="27" fillId="3" borderId="22" xfId="0" applyFont="1" applyFill="1" applyBorder="1" applyAlignment="1">
      <alignment vertical="center" wrapText="1"/>
    </xf>
    <xf numFmtId="0" fontId="27" fillId="4" borderId="25" xfId="0" applyFont="1" applyFill="1" applyBorder="1" applyAlignment="1">
      <alignment vertical="center" wrapText="1"/>
    </xf>
    <xf numFmtId="0" fontId="24" fillId="3" borderId="0" xfId="0" applyFont="1" applyFill="1"/>
    <xf numFmtId="0" fontId="24" fillId="0" borderId="0" xfId="0" applyFont="1" applyAlignment="1">
      <alignment wrapText="1"/>
    </xf>
    <xf numFmtId="0" fontId="29" fillId="3" borderId="2" xfId="0" applyFont="1" applyFill="1" applyBorder="1" applyAlignment="1">
      <alignment horizontal="left" vertical="center" wrapText="1"/>
    </xf>
    <xf numFmtId="0" fontId="24" fillId="3" borderId="2" xfId="0" applyFont="1" applyFill="1" applyBorder="1" applyAlignment="1">
      <alignment wrapText="1"/>
    </xf>
    <xf numFmtId="0" fontId="24" fillId="3" borderId="2" xfId="0" applyFont="1" applyFill="1" applyBorder="1"/>
    <xf numFmtId="0" fontId="29" fillId="0" borderId="28" xfId="0" applyFont="1" applyBorder="1" applyAlignment="1">
      <alignment vertical="center" wrapText="1"/>
    </xf>
    <xf numFmtId="0" fontId="24" fillId="0" borderId="0" xfId="0" applyFont="1" applyAlignment="1">
      <alignment vertical="center"/>
    </xf>
    <xf numFmtId="0" fontId="29" fillId="0" borderId="41" xfId="0" applyFont="1" applyBorder="1" applyAlignment="1">
      <alignment vertical="center" wrapText="1"/>
    </xf>
    <xf numFmtId="0" fontId="29" fillId="3" borderId="2" xfId="0" applyFont="1" applyFill="1" applyBorder="1" applyAlignment="1">
      <alignment vertical="center" wrapText="1"/>
    </xf>
    <xf numFmtId="0" fontId="29" fillId="0" borderId="0" xfId="0" applyFont="1" applyAlignment="1">
      <alignment vertical="center"/>
    </xf>
    <xf numFmtId="0" fontId="29" fillId="0" borderId="2" xfId="0" applyFont="1" applyBorder="1" applyAlignment="1">
      <alignment horizontal="left" vertical="center"/>
    </xf>
    <xf numFmtId="0" fontId="29" fillId="14" borderId="2" xfId="0" applyFont="1" applyFill="1" applyBorder="1" applyAlignment="1">
      <alignment horizontal="left" vertical="center" wrapText="1"/>
    </xf>
    <xf numFmtId="0" fontId="29" fillId="21" borderId="2" xfId="0" applyFont="1" applyFill="1" applyBorder="1" applyAlignment="1">
      <alignment vertical="center" wrapText="1"/>
    </xf>
    <xf numFmtId="0" fontId="24" fillId="3" borderId="2" xfId="0" applyFont="1" applyFill="1" applyBorder="1" applyAlignment="1">
      <alignment vertical="center"/>
    </xf>
    <xf numFmtId="0" fontId="24" fillId="21" borderId="2" xfId="0" applyFont="1" applyFill="1" applyBorder="1"/>
    <xf numFmtId="0" fontId="24" fillId="21" borderId="2" xfId="0" applyFont="1" applyFill="1" applyBorder="1" applyAlignment="1">
      <alignment wrapText="1"/>
    </xf>
    <xf numFmtId="0" fontId="66" fillId="0" borderId="0" xfId="0" applyFont="1" applyAlignment="1">
      <alignment wrapText="1"/>
    </xf>
    <xf numFmtId="0" fontId="67" fillId="0" borderId="30" xfId="0" applyFont="1" applyBorder="1" applyAlignment="1">
      <alignment vertical="center" wrapText="1"/>
    </xf>
    <xf numFmtId="0" fontId="29" fillId="0" borderId="58" xfId="0" applyFont="1" applyBorder="1" applyAlignment="1">
      <alignment vertical="center" wrapText="1"/>
    </xf>
    <xf numFmtId="0" fontId="39" fillId="0" borderId="1" xfId="0" applyFont="1" applyBorder="1" applyAlignment="1">
      <alignment wrapText="1"/>
    </xf>
    <xf numFmtId="0" fontId="68" fillId="0" borderId="30" xfId="0" applyFont="1" applyBorder="1" applyAlignment="1">
      <alignment vertical="center" wrapText="1"/>
    </xf>
    <xf numFmtId="0" fontId="29" fillId="0" borderId="30" xfId="0" quotePrefix="1" applyFont="1" applyBorder="1" applyAlignment="1">
      <alignment vertical="center" wrapText="1"/>
    </xf>
    <xf numFmtId="0" fontId="29" fillId="0" borderId="31" xfId="0" applyFont="1" applyBorder="1" applyAlignment="1">
      <alignment vertical="center" wrapText="1"/>
    </xf>
    <xf numFmtId="0" fontId="67" fillId="0" borderId="59" xfId="0" applyFont="1" applyBorder="1" applyAlignment="1">
      <alignment vertical="center" wrapText="1"/>
    </xf>
    <xf numFmtId="0" fontId="29" fillId="0" borderId="59" xfId="0" applyFont="1" applyBorder="1" applyAlignment="1">
      <alignment vertical="center" wrapText="1"/>
    </xf>
    <xf numFmtId="0" fontId="68" fillId="0" borderId="59" xfId="0" applyFont="1" applyBorder="1" applyAlignment="1">
      <alignment vertical="center" wrapText="1"/>
    </xf>
    <xf numFmtId="0" fontId="29" fillId="0" borderId="59" xfId="0" quotePrefix="1" applyFont="1" applyBorder="1" applyAlignment="1">
      <alignment vertical="center" wrapText="1"/>
    </xf>
    <xf numFmtId="0" fontId="68" fillId="0" borderId="59" xfId="0" quotePrefix="1" applyFont="1" applyBorder="1" applyAlignment="1">
      <alignment vertical="center" wrapText="1"/>
    </xf>
    <xf numFmtId="0" fontId="0" fillId="22" borderId="2" xfId="0" applyFill="1" applyBorder="1"/>
    <xf numFmtId="0" fontId="29" fillId="22" borderId="2" xfId="0" applyFont="1" applyFill="1" applyBorder="1" applyAlignment="1">
      <alignment vertical="center" wrapText="1"/>
    </xf>
    <xf numFmtId="0" fontId="67" fillId="22" borderId="2" xfId="0" applyFont="1" applyFill="1" applyBorder="1" applyAlignment="1">
      <alignment vertical="center" wrapText="1"/>
    </xf>
    <xf numFmtId="0" fontId="32" fillId="22" borderId="2" xfId="0" applyFont="1" applyFill="1" applyBorder="1"/>
    <xf numFmtId="0" fontId="32" fillId="0" borderId="31" xfId="0" applyFont="1" applyBorder="1" applyAlignment="1">
      <alignment horizontal="center" vertical="center"/>
    </xf>
    <xf numFmtId="0" fontId="69" fillId="0" borderId="0" xfId="0" applyFont="1"/>
    <xf numFmtId="0" fontId="69" fillId="0" borderId="31" xfId="0" applyFont="1" applyBorder="1" applyAlignment="1">
      <alignment horizontal="center" vertical="center"/>
    </xf>
    <xf numFmtId="0" fontId="32" fillId="22" borderId="0" xfId="0" applyFont="1" applyFill="1"/>
    <xf numFmtId="0" fontId="32" fillId="22" borderId="2" xfId="0" applyFont="1" applyFill="1" applyBorder="1" applyAlignment="1">
      <alignment horizontal="center" vertical="center"/>
    </xf>
    <xf numFmtId="0" fontId="29" fillId="22" borderId="2" xfId="0" applyFont="1" applyFill="1" applyBorder="1" applyAlignment="1">
      <alignment horizontal="center" vertical="center" wrapText="1"/>
    </xf>
    <xf numFmtId="1" fontId="8" fillId="0" borderId="2" xfId="0" applyNumberFormat="1" applyFont="1" applyBorder="1" applyAlignment="1">
      <alignment horizontal="center" vertical="center" wrapText="1"/>
    </xf>
    <xf numFmtId="0" fontId="8" fillId="0" borderId="2" xfId="0" applyFont="1" applyBorder="1"/>
    <xf numFmtId="0" fontId="8" fillId="0" borderId="2" xfId="0" applyFont="1" applyBorder="1" applyAlignment="1">
      <alignment wrapText="1"/>
    </xf>
    <xf numFmtId="3" fontId="8" fillId="0" borderId="2" xfId="0" applyNumberFormat="1" applyFont="1" applyBorder="1" applyAlignment="1">
      <alignment horizontal="center" vertical="center" wrapText="1"/>
    </xf>
    <xf numFmtId="0" fontId="17" fillId="5" borderId="20" xfId="0" applyFont="1" applyFill="1" applyBorder="1" applyAlignment="1">
      <alignment horizontal="left" vertical="center" wrapText="1"/>
    </xf>
    <xf numFmtId="0" fontId="23" fillId="0" borderId="20" xfId="0" applyFont="1" applyBorder="1" applyAlignment="1">
      <alignment vertical="center" wrapText="1"/>
    </xf>
    <xf numFmtId="0" fontId="23" fillId="3" borderId="57" xfId="0" applyFont="1" applyFill="1" applyBorder="1" applyAlignment="1">
      <alignment vertical="center" wrapText="1"/>
    </xf>
    <xf numFmtId="0" fontId="22" fillId="3" borderId="25" xfId="0" applyFont="1" applyFill="1" applyBorder="1" applyAlignment="1">
      <alignment vertical="center" wrapText="1"/>
    </xf>
    <xf numFmtId="0" fontId="23" fillId="3" borderId="25" xfId="0" applyFont="1" applyFill="1" applyBorder="1" applyAlignment="1">
      <alignment vertical="center" wrapText="1"/>
    </xf>
    <xf numFmtId="0" fontId="23" fillId="3" borderId="20" xfId="0" applyFont="1" applyFill="1" applyBorder="1" applyAlignment="1">
      <alignment vertical="center" wrapText="1"/>
    </xf>
    <xf numFmtId="0" fontId="0" fillId="0" borderId="60" xfId="0" applyBorder="1"/>
    <xf numFmtId="0" fontId="0" fillId="0" borderId="37" xfId="0" applyBorder="1"/>
    <xf numFmtId="0" fontId="0" fillId="0" borderId="61" xfId="0" applyBorder="1"/>
    <xf numFmtId="0" fontId="0" fillId="0" borderId="62" xfId="0" applyBorder="1"/>
    <xf numFmtId="0" fontId="0" fillId="0" borderId="39" xfId="0" applyBorder="1"/>
    <xf numFmtId="0" fontId="0" fillId="0" borderId="40" xfId="0" applyBorder="1"/>
    <xf numFmtId="0" fontId="33" fillId="3" borderId="25" xfId="0" applyFont="1" applyFill="1" applyBorder="1" applyAlignment="1">
      <alignment vertical="center" wrapText="1"/>
    </xf>
    <xf numFmtId="3" fontId="33" fillId="3" borderId="25" xfId="0" applyNumberFormat="1" applyFont="1" applyFill="1" applyBorder="1" applyAlignment="1">
      <alignment horizontal="left" vertical="center" wrapText="1"/>
    </xf>
    <xf numFmtId="3" fontId="33" fillId="3" borderId="25" xfId="0" applyNumberFormat="1" applyFont="1" applyFill="1" applyBorder="1" applyAlignment="1">
      <alignment vertical="center" wrapText="1"/>
    </xf>
    <xf numFmtId="0" fontId="33" fillId="3" borderId="23" xfId="0" applyFont="1" applyFill="1" applyBorder="1" applyAlignment="1">
      <alignment vertical="center" wrapText="1"/>
    </xf>
    <xf numFmtId="17" fontId="33" fillId="3" borderId="23" xfId="0" applyNumberFormat="1" applyFont="1" applyFill="1" applyBorder="1" applyAlignment="1">
      <alignment vertical="center" wrapText="1"/>
    </xf>
    <xf numFmtId="49" fontId="33" fillId="3" borderId="23" xfId="0" applyNumberFormat="1" applyFont="1" applyFill="1" applyBorder="1" applyAlignment="1">
      <alignment vertical="center" wrapText="1"/>
    </xf>
    <xf numFmtId="0" fontId="33" fillId="3" borderId="63" xfId="0" applyFont="1" applyFill="1" applyBorder="1" applyAlignment="1">
      <alignment vertical="center" wrapText="1"/>
    </xf>
    <xf numFmtId="0" fontId="22" fillId="23" borderId="57" xfId="0" applyFont="1" applyFill="1" applyBorder="1" applyAlignment="1">
      <alignment vertical="center" wrapText="1"/>
    </xf>
    <xf numFmtId="17" fontId="23" fillId="0" borderId="25" xfId="0" applyNumberFormat="1" applyFont="1" applyBorder="1" applyAlignment="1">
      <alignment vertical="center" wrapText="1"/>
    </xf>
    <xf numFmtId="0" fontId="23" fillId="3" borderId="2" xfId="0" applyFont="1" applyFill="1" applyBorder="1" applyAlignment="1">
      <alignment vertical="center" wrapText="1"/>
    </xf>
    <xf numFmtId="0" fontId="24" fillId="14" borderId="0" xfId="0" applyFont="1" applyFill="1"/>
    <xf numFmtId="0" fontId="24" fillId="0" borderId="0" xfId="0" applyFont="1" applyAlignment="1">
      <alignment vertical="center" wrapText="1"/>
    </xf>
    <xf numFmtId="0" fontId="8" fillId="0" borderId="25" xfId="0" applyFont="1" applyBorder="1" applyAlignment="1">
      <alignment vertical="center" wrapText="1"/>
    </xf>
    <xf numFmtId="0" fontId="8" fillId="14" borderId="25" xfId="0" applyFont="1" applyFill="1" applyBorder="1" applyAlignment="1">
      <alignment vertical="center" wrapText="1"/>
    </xf>
    <xf numFmtId="0" fontId="8" fillId="0" borderId="64" xfId="0" applyFont="1" applyBorder="1" applyAlignment="1">
      <alignment vertical="center" wrapText="1"/>
    </xf>
    <xf numFmtId="0" fontId="29" fillId="0" borderId="57" xfId="0" applyFont="1" applyBorder="1" applyAlignment="1">
      <alignment vertical="center" wrapText="1"/>
    </xf>
    <xf numFmtId="0" fontId="8" fillId="0" borderId="57" xfId="0" applyFont="1" applyBorder="1" applyAlignment="1">
      <alignment vertical="center" wrapText="1"/>
    </xf>
    <xf numFmtId="0" fontId="24" fillId="0" borderId="25" xfId="0" applyFont="1" applyBorder="1"/>
    <xf numFmtId="0" fontId="29" fillId="0" borderId="63" xfId="0" applyFont="1" applyBorder="1" applyAlignment="1">
      <alignment vertical="center" wrapText="1"/>
    </xf>
    <xf numFmtId="0" fontId="24" fillId="0" borderId="25" xfId="0" applyFont="1" applyBorder="1" applyAlignment="1">
      <alignment vertical="center" wrapText="1"/>
    </xf>
    <xf numFmtId="0" fontId="24" fillId="0" borderId="25" xfId="0" applyFont="1" applyBorder="1" applyAlignment="1">
      <alignment horizontal="left" vertical="center" wrapText="1"/>
    </xf>
    <xf numFmtId="0" fontId="24" fillId="0" borderId="20" xfId="0" applyFont="1" applyBorder="1" applyAlignment="1">
      <alignment vertical="center" wrapText="1"/>
    </xf>
    <xf numFmtId="0" fontId="24" fillId="0" borderId="22" xfId="0" applyFont="1" applyBorder="1" applyAlignment="1">
      <alignment vertical="center" wrapText="1"/>
    </xf>
    <xf numFmtId="0" fontId="24" fillId="14" borderId="25" xfId="0" applyFont="1" applyFill="1" applyBorder="1" applyAlignment="1">
      <alignment vertical="center" wrapText="1"/>
    </xf>
    <xf numFmtId="0" fontId="24" fillId="0" borderId="64" xfId="0" applyFont="1" applyBorder="1" applyAlignment="1">
      <alignment vertical="center" wrapText="1"/>
    </xf>
    <xf numFmtId="0" fontId="24" fillId="0" borderId="25" xfId="0" applyFont="1" applyBorder="1" applyAlignment="1">
      <alignment vertical="center"/>
    </xf>
    <xf numFmtId="0" fontId="8" fillId="0" borderId="25" xfId="0" applyFont="1" applyBorder="1" applyAlignment="1">
      <alignment horizontal="left" vertical="center" wrapText="1"/>
    </xf>
    <xf numFmtId="0" fontId="24" fillId="0" borderId="25" xfId="0" applyFont="1" applyBorder="1" applyAlignment="1">
      <alignment horizontal="left" vertical="center"/>
    </xf>
    <xf numFmtId="0" fontId="24" fillId="0" borderId="64" xfId="0" applyFont="1" applyBorder="1" applyAlignment="1">
      <alignment vertical="center"/>
    </xf>
    <xf numFmtId="0" fontId="29" fillId="14" borderId="57" xfId="0" applyFont="1" applyFill="1" applyBorder="1" applyAlignment="1">
      <alignment vertical="center" wrapText="1"/>
    </xf>
    <xf numFmtId="0" fontId="8" fillId="14" borderId="57" xfId="0" applyFont="1" applyFill="1" applyBorder="1" applyAlignment="1">
      <alignment vertical="center" wrapText="1"/>
    </xf>
    <xf numFmtId="0" fontId="29" fillId="0" borderId="57" xfId="0" applyFont="1" applyBorder="1" applyAlignment="1">
      <alignment horizontal="left" wrapText="1"/>
    </xf>
    <xf numFmtId="0" fontId="71" fillId="0" borderId="0" xfId="0" applyFont="1"/>
    <xf numFmtId="0" fontId="24" fillId="0" borderId="64" xfId="0" applyFont="1" applyBorder="1"/>
    <xf numFmtId="0" fontId="8" fillId="0" borderId="22" xfId="0" applyFont="1" applyBorder="1" applyAlignment="1">
      <alignment vertical="center" wrapText="1"/>
    </xf>
    <xf numFmtId="0" fontId="29" fillId="0" borderId="25" xfId="0" applyFont="1" applyBorder="1" applyAlignment="1">
      <alignment vertical="center" wrapText="1"/>
    </xf>
    <xf numFmtId="0" fontId="71" fillId="0" borderId="57" xfId="0" applyFont="1" applyBorder="1" applyAlignment="1">
      <alignment vertical="center" wrapText="1"/>
    </xf>
    <xf numFmtId="0" fontId="71" fillId="0" borderId="25" xfId="0" applyFont="1" applyBorder="1"/>
    <xf numFmtId="0" fontId="29" fillId="0" borderId="25" xfId="0" applyFont="1" applyBorder="1"/>
    <xf numFmtId="0" fontId="29" fillId="0" borderId="57" xfId="0" applyFont="1" applyBorder="1"/>
    <xf numFmtId="0" fontId="24" fillId="0" borderId="25" xfId="0" applyFont="1" applyBorder="1" applyAlignment="1">
      <alignment horizontal="center" vertical="center" wrapText="1"/>
    </xf>
    <xf numFmtId="0" fontId="29" fillId="14" borderId="0" xfId="0" applyFont="1" applyFill="1"/>
    <xf numFmtId="0" fontId="29" fillId="0" borderId="0" xfId="0" applyFont="1"/>
    <xf numFmtId="0" fontId="72" fillId="0" borderId="0" xfId="0" applyFont="1" applyAlignment="1">
      <alignment vertical="top" wrapText="1"/>
    </xf>
    <xf numFmtId="0" fontId="0" fillId="0" borderId="0" xfId="0" applyAlignment="1">
      <alignment vertical="top"/>
    </xf>
    <xf numFmtId="0" fontId="26" fillId="3" borderId="23" xfId="0" applyFont="1" applyFill="1" applyBorder="1" applyAlignment="1">
      <alignment horizontal="center" vertical="top" wrapText="1"/>
    </xf>
    <xf numFmtId="0" fontId="18" fillId="4" borderId="23" xfId="0" applyFont="1" applyFill="1" applyBorder="1" applyAlignment="1">
      <alignment horizontal="center" vertical="top" wrapText="1"/>
    </xf>
    <xf numFmtId="0" fontId="26" fillId="4" borderId="23" xfId="0" applyFont="1" applyFill="1" applyBorder="1" applyAlignment="1">
      <alignment horizontal="center" vertical="top" wrapText="1"/>
    </xf>
    <xf numFmtId="0" fontId="19" fillId="4" borderId="24" xfId="0" applyFont="1" applyFill="1" applyBorder="1" applyAlignment="1">
      <alignment horizontal="center" vertical="top" wrapText="1"/>
    </xf>
    <xf numFmtId="0" fontId="18" fillId="4" borderId="24" xfId="0" applyFont="1" applyFill="1" applyBorder="1" applyAlignment="1">
      <alignment horizontal="center" vertical="top" wrapText="1"/>
    </xf>
    <xf numFmtId="0" fontId="26" fillId="4" borderId="24" xfId="0" applyFont="1" applyFill="1" applyBorder="1" applyAlignment="1">
      <alignment horizontal="center" vertical="top" wrapText="1"/>
    </xf>
    <xf numFmtId="0" fontId="27" fillId="3" borderId="25" xfId="0" applyFont="1" applyFill="1" applyBorder="1" applyAlignment="1">
      <alignment vertical="top" wrapText="1"/>
    </xf>
    <xf numFmtId="0" fontId="27" fillId="4" borderId="22" xfId="0" applyFont="1" applyFill="1" applyBorder="1" applyAlignment="1">
      <alignment vertical="top" wrapText="1"/>
    </xf>
    <xf numFmtId="0" fontId="27" fillId="4" borderId="22" xfId="0" applyFont="1" applyFill="1" applyBorder="1" applyAlignment="1">
      <alignment horizontal="center" vertical="top" wrapText="1"/>
    </xf>
    <xf numFmtId="0" fontId="18" fillId="4" borderId="22" xfId="0" applyFont="1" applyFill="1" applyBorder="1" applyAlignment="1">
      <alignment horizontal="center" vertical="top" wrapText="1"/>
    </xf>
    <xf numFmtId="0" fontId="27" fillId="4" borderId="25" xfId="0" applyFont="1" applyFill="1" applyBorder="1" applyAlignment="1">
      <alignment vertical="top" wrapText="1"/>
    </xf>
    <xf numFmtId="0" fontId="73" fillId="0" borderId="2" xfId="0" applyFont="1" applyBorder="1" applyAlignment="1">
      <alignment vertical="top" wrapText="1"/>
    </xf>
    <xf numFmtId="0" fontId="74" fillId="0" borderId="2" xfId="0" applyFont="1" applyBorder="1" applyAlignment="1">
      <alignment vertical="top" wrapText="1"/>
    </xf>
    <xf numFmtId="0" fontId="74"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applyFont="1" applyBorder="1" applyAlignment="1">
      <alignment vertical="top" wrapText="1"/>
    </xf>
    <xf numFmtId="0" fontId="76" fillId="0" borderId="28" xfId="0" applyFont="1" applyBorder="1" applyAlignment="1">
      <alignment vertical="top" wrapText="1"/>
    </xf>
    <xf numFmtId="0" fontId="72" fillId="0" borderId="0" xfId="0" applyFont="1" applyAlignment="1">
      <alignment vertical="top"/>
    </xf>
    <xf numFmtId="0" fontId="76" fillId="0" borderId="2" xfId="0" applyFont="1" applyBorder="1" applyAlignment="1">
      <alignment vertical="top" wrapText="1"/>
    </xf>
    <xf numFmtId="0" fontId="77" fillId="24" borderId="2" xfId="0" applyFont="1" applyFill="1" applyBorder="1" applyAlignment="1">
      <alignment vertical="center" wrapText="1"/>
    </xf>
    <xf numFmtId="0" fontId="17" fillId="24" borderId="0" xfId="0" applyFont="1" applyFill="1" applyAlignment="1">
      <alignment horizontal="left" vertical="center" wrapText="1"/>
    </xf>
    <xf numFmtId="0" fontId="29" fillId="24" borderId="2" xfId="0" applyFont="1" applyFill="1" applyBorder="1" applyAlignment="1">
      <alignment vertical="center" wrapText="1"/>
    </xf>
    <xf numFmtId="0" fontId="49" fillId="0" borderId="0" xfId="0" applyFont="1"/>
    <xf numFmtId="0" fontId="17" fillId="5" borderId="0" xfId="0" applyFont="1" applyFill="1" applyAlignment="1">
      <alignment horizontal="left" vertical="center" wrapText="1"/>
    </xf>
    <xf numFmtId="0" fontId="29" fillId="14" borderId="2" xfId="0" applyFont="1" applyFill="1" applyBorder="1" applyAlignment="1">
      <alignment vertical="center" wrapText="1"/>
    </xf>
    <xf numFmtId="0" fontId="24" fillId="0" borderId="2" xfId="0" applyFont="1" applyBorder="1" applyAlignment="1">
      <alignment vertical="center"/>
    </xf>
    <xf numFmtId="0" fontId="29" fillId="25" borderId="2" xfId="0" applyFont="1" applyFill="1" applyBorder="1" applyAlignment="1">
      <alignment vertical="center" wrapText="1"/>
    </xf>
    <xf numFmtId="0" fontId="29" fillId="25" borderId="2" xfId="0" applyFont="1" applyFill="1" applyBorder="1" applyAlignment="1">
      <alignment vertical="center"/>
    </xf>
    <xf numFmtId="0" fontId="51" fillId="0" borderId="2" xfId="0" applyFont="1" applyBorder="1" applyAlignment="1">
      <alignment vertical="center"/>
    </xf>
    <xf numFmtId="0" fontId="24" fillId="25" borderId="2" xfId="0" applyFont="1" applyFill="1" applyBorder="1" applyAlignment="1">
      <alignment vertical="center"/>
    </xf>
    <xf numFmtId="0" fontId="24" fillId="25" borderId="2" xfId="0" applyFont="1" applyFill="1" applyBorder="1" applyAlignment="1">
      <alignment vertical="center" wrapText="1"/>
    </xf>
    <xf numFmtId="0" fontId="0" fillId="0" borderId="0" xfId="0" applyAlignment="1">
      <alignment vertical="center"/>
    </xf>
    <xf numFmtId="0" fontId="17" fillId="14" borderId="2" xfId="0" applyFont="1" applyFill="1" applyBorder="1" applyAlignment="1">
      <alignment horizontal="left" vertical="center" wrapText="1"/>
    </xf>
    <xf numFmtId="0" fontId="17" fillId="14" borderId="37" xfId="0" applyFont="1" applyFill="1" applyBorder="1" applyAlignment="1">
      <alignment horizontal="left" vertical="center" wrapText="1"/>
    </xf>
    <xf numFmtId="0" fontId="8" fillId="3" borderId="2" xfId="0" applyFont="1" applyFill="1" applyBorder="1" applyAlignment="1">
      <alignment vertical="center" wrapText="1"/>
    </xf>
    <xf numFmtId="0" fontId="0" fillId="14" borderId="0" xfId="0" applyFill="1"/>
    <xf numFmtId="16" fontId="8" fillId="0" borderId="2" xfId="0" applyNumberFormat="1" applyFont="1" applyBorder="1" applyAlignment="1">
      <alignment vertical="center" wrapText="1"/>
    </xf>
    <xf numFmtId="0" fontId="8" fillId="14" borderId="2" xfId="0" applyFont="1" applyFill="1" applyBorder="1" applyAlignment="1">
      <alignment vertical="center" wrapText="1"/>
    </xf>
    <xf numFmtId="0" fontId="24" fillId="14" borderId="2" xfId="0" applyFont="1" applyFill="1" applyBorder="1" applyAlignment="1">
      <alignment vertical="center"/>
    </xf>
    <xf numFmtId="0" fontId="24" fillId="14" borderId="0" xfId="0" applyFont="1" applyFill="1" applyAlignment="1">
      <alignment vertical="center"/>
    </xf>
    <xf numFmtId="0" fontId="32" fillId="3" borderId="2" xfId="0" applyFont="1" applyFill="1" applyBorder="1"/>
    <xf numFmtId="0" fontId="66" fillId="0" borderId="0" xfId="0" applyFont="1"/>
    <xf numFmtId="3" fontId="0" fillId="0" borderId="0" xfId="0" applyNumberFormat="1"/>
    <xf numFmtId="0" fontId="78" fillId="11" borderId="2" xfId="0" applyFont="1" applyFill="1" applyBorder="1" applyAlignment="1">
      <alignment vertical="center"/>
    </xf>
    <xf numFmtId="0" fontId="79" fillId="0" borderId="0" xfId="0" applyFont="1" applyAlignment="1">
      <alignment vertical="center"/>
    </xf>
    <xf numFmtId="0" fontId="78" fillId="3" borderId="2" xfId="0" applyFont="1" applyFill="1" applyBorder="1" applyAlignment="1">
      <alignment vertical="center"/>
    </xf>
    <xf numFmtId="0" fontId="47" fillId="4" borderId="2" xfId="0" applyFont="1" applyFill="1" applyBorder="1" applyAlignment="1">
      <alignment vertical="center"/>
    </xf>
    <xf numFmtId="0" fontId="78" fillId="3" borderId="29" xfId="0" applyFont="1" applyFill="1" applyBorder="1" applyAlignment="1">
      <alignment horizontal="center" vertical="center"/>
    </xf>
    <xf numFmtId="0" fontId="78" fillId="3" borderId="58" xfId="0" applyFont="1" applyFill="1" applyBorder="1" applyAlignment="1">
      <alignment horizontal="center" vertical="center"/>
    </xf>
    <xf numFmtId="0" fontId="78" fillId="3" borderId="30" xfId="0" applyFont="1" applyFill="1" applyBorder="1" applyAlignment="1">
      <alignment horizontal="center" vertical="center"/>
    </xf>
    <xf numFmtId="0" fontId="78" fillId="4" borderId="2" xfId="0" applyFont="1" applyFill="1" applyBorder="1" applyAlignment="1">
      <alignment vertical="center"/>
    </xf>
    <xf numFmtId="0" fontId="78" fillId="16" borderId="29" xfId="0" applyFont="1" applyFill="1" applyBorder="1" applyAlignment="1">
      <alignment horizontal="left" vertical="center"/>
    </xf>
    <xf numFmtId="0" fontId="78" fillId="16" borderId="58" xfId="0" applyFont="1" applyFill="1" applyBorder="1" applyAlignment="1">
      <alignment horizontal="left" vertical="center"/>
    </xf>
    <xf numFmtId="0" fontId="78" fillId="16" borderId="30" xfId="0" applyFont="1" applyFill="1" applyBorder="1" applyAlignment="1">
      <alignment horizontal="left" vertical="center"/>
    </xf>
    <xf numFmtId="0" fontId="78" fillId="4" borderId="2" xfId="0" applyFont="1" applyFill="1" applyBorder="1" applyAlignment="1">
      <alignment horizontal="left" vertical="center"/>
    </xf>
    <xf numFmtId="0" fontId="80" fillId="0" borderId="0" xfId="0" applyFont="1" applyAlignment="1">
      <alignment vertical="center"/>
    </xf>
    <xf numFmtId="0" fontId="81" fillId="3" borderId="2" xfId="0" applyFont="1" applyFill="1" applyBorder="1" applyAlignment="1">
      <alignment vertical="center"/>
    </xf>
    <xf numFmtId="0" fontId="81" fillId="4" borderId="2" xfId="0" applyFont="1" applyFill="1" applyBorder="1" applyAlignment="1">
      <alignment vertical="center"/>
    </xf>
    <xf numFmtId="0" fontId="82" fillId="4" borderId="2" xfId="0" applyFont="1" applyFill="1" applyBorder="1" applyAlignment="1">
      <alignment vertical="center"/>
    </xf>
    <xf numFmtId="0" fontId="79" fillId="0" borderId="29" xfId="0" applyFont="1" applyBorder="1" applyAlignment="1">
      <alignment vertical="center"/>
    </xf>
    <xf numFmtId="0" fontId="79" fillId="0" borderId="58" xfId="0" applyFont="1" applyBorder="1" applyAlignment="1">
      <alignment vertical="center"/>
    </xf>
    <xf numFmtId="0" fontId="79" fillId="0" borderId="30" xfId="0" applyFont="1" applyBorder="1" applyAlignment="1">
      <alignment vertical="center"/>
    </xf>
    <xf numFmtId="0" fontId="81" fillId="4" borderId="2" xfId="0" applyFont="1" applyFill="1" applyBorder="1" applyAlignment="1">
      <alignment horizontal="center" vertical="center"/>
    </xf>
    <xf numFmtId="0" fontId="82" fillId="4" borderId="2" xfId="0" applyFont="1" applyFill="1" applyBorder="1" applyAlignment="1">
      <alignment horizontal="center" vertical="center"/>
    </xf>
    <xf numFmtId="0" fontId="79" fillId="0" borderId="31" xfId="0" applyFont="1" applyBorder="1" applyAlignment="1">
      <alignment vertical="center"/>
    </xf>
    <xf numFmtId="0" fontId="79" fillId="0" borderId="59" xfId="0" applyFont="1" applyBorder="1" applyAlignment="1">
      <alignment vertical="center"/>
    </xf>
    <xf numFmtId="0" fontId="83" fillId="3" borderId="23" xfId="0" applyFont="1" applyFill="1" applyBorder="1" applyAlignment="1">
      <alignment horizontal="left" vertical="center"/>
    </xf>
    <xf numFmtId="0" fontId="47" fillId="4" borderId="23" xfId="0" applyFont="1" applyFill="1" applyBorder="1" applyAlignment="1">
      <alignment horizontal="left" vertical="center"/>
    </xf>
    <xf numFmtId="9" fontId="83" fillId="26" borderId="26" xfId="5" applyFont="1" applyFill="1" applyBorder="1" applyAlignment="1">
      <alignment horizontal="left" vertical="center"/>
    </xf>
    <xf numFmtId="9" fontId="83" fillId="26" borderId="27" xfId="5" applyFont="1" applyFill="1" applyBorder="1" applyAlignment="1">
      <alignment horizontal="center" vertical="center"/>
    </xf>
    <xf numFmtId="0" fontId="83" fillId="26" borderId="27" xfId="0" applyFont="1" applyFill="1" applyBorder="1" applyAlignment="1">
      <alignment horizontal="left" vertical="top"/>
    </xf>
    <xf numFmtId="0" fontId="83" fillId="26" borderId="27" xfId="0" applyFont="1" applyFill="1" applyBorder="1" applyAlignment="1">
      <alignment horizontal="center" vertical="center"/>
    </xf>
    <xf numFmtId="0" fontId="83" fillId="26" borderId="24" xfId="0" applyFont="1" applyFill="1" applyBorder="1" applyAlignment="1">
      <alignment horizontal="center" vertical="center"/>
    </xf>
    <xf numFmtId="9" fontId="83" fillId="3" borderId="23" xfId="5" applyFont="1" applyFill="1" applyBorder="1" applyAlignment="1">
      <alignment horizontal="center" vertical="center"/>
    </xf>
    <xf numFmtId="0" fontId="83" fillId="14" borderId="0" xfId="0" applyFont="1" applyFill="1" applyAlignment="1">
      <alignment vertical="center"/>
    </xf>
    <xf numFmtId="0" fontId="83" fillId="26" borderId="26" xfId="0" applyFont="1" applyFill="1" applyBorder="1" applyAlignment="1">
      <alignment horizontal="center" vertical="center"/>
    </xf>
    <xf numFmtId="0" fontId="83" fillId="3" borderId="68" xfId="0" applyFont="1" applyFill="1" applyBorder="1" applyAlignment="1">
      <alignment horizontal="left" vertical="center"/>
    </xf>
    <xf numFmtId="0" fontId="47" fillId="4" borderId="68" xfId="0" applyFont="1" applyFill="1" applyBorder="1" applyAlignment="1">
      <alignment horizontal="left" vertical="center"/>
    </xf>
    <xf numFmtId="9" fontId="83" fillId="26" borderId="67" xfId="5" applyFont="1" applyFill="1" applyBorder="1" applyAlignment="1">
      <alignment horizontal="center" vertical="center"/>
    </xf>
    <xf numFmtId="9" fontId="83" fillId="26" borderId="69" xfId="5" applyFont="1" applyFill="1" applyBorder="1" applyAlignment="1">
      <alignment horizontal="center" vertical="center"/>
    </xf>
    <xf numFmtId="0" fontId="83" fillId="26" borderId="69" xfId="0" applyFont="1" applyFill="1" applyBorder="1" applyAlignment="1">
      <alignment horizontal="left" vertical="top"/>
    </xf>
    <xf numFmtId="0" fontId="83" fillId="26" borderId="69" xfId="0" applyFont="1" applyFill="1" applyBorder="1" applyAlignment="1">
      <alignment horizontal="center" vertical="center"/>
    </xf>
    <xf numFmtId="0" fontId="83" fillId="26" borderId="57" xfId="0" applyFont="1" applyFill="1" applyBorder="1" applyAlignment="1">
      <alignment horizontal="center" vertical="center"/>
    </xf>
    <xf numFmtId="9" fontId="83" fillId="3" borderId="64" xfId="5" applyFont="1" applyFill="1" applyBorder="1" applyAlignment="1">
      <alignment horizontal="center" vertical="center"/>
    </xf>
    <xf numFmtId="0" fontId="83" fillId="26" borderId="67" xfId="0" applyFont="1" applyFill="1" applyBorder="1" applyAlignment="1">
      <alignment horizontal="center" vertical="center"/>
    </xf>
    <xf numFmtId="9" fontId="83" fillId="26" borderId="20" xfId="5" applyFont="1" applyFill="1" applyBorder="1" applyAlignment="1">
      <alignment horizontal="center" vertical="center"/>
    </xf>
    <xf numFmtId="0" fontId="83" fillId="4" borderId="23" xfId="0" applyFont="1" applyFill="1" applyBorder="1" applyAlignment="1">
      <alignment horizontal="left" vertical="top"/>
    </xf>
    <xf numFmtId="0" fontId="47" fillId="4" borderId="23" xfId="0" applyFont="1" applyFill="1" applyBorder="1" applyAlignment="1">
      <alignment horizontal="center" vertical="center"/>
    </xf>
    <xf numFmtId="0" fontId="83" fillId="4" borderId="23" xfId="0" applyFont="1" applyFill="1" applyBorder="1" applyAlignment="1">
      <alignment horizontal="center" vertical="center"/>
    </xf>
    <xf numFmtId="0" fontId="83" fillId="3" borderId="64" xfId="0" applyFont="1" applyFill="1" applyBorder="1" applyAlignment="1">
      <alignment horizontal="left" vertical="center"/>
    </xf>
    <xf numFmtId="0" fontId="47" fillId="4" borderId="64" xfId="0" applyFont="1" applyFill="1" applyBorder="1" applyAlignment="1">
      <alignment horizontal="left" vertical="center"/>
    </xf>
    <xf numFmtId="9" fontId="83" fillId="3" borderId="20" xfId="5" applyFont="1" applyFill="1" applyBorder="1" applyAlignment="1">
      <alignment horizontal="center" vertical="center"/>
    </xf>
    <xf numFmtId="9" fontId="83" fillId="4" borderId="20" xfId="5" applyFont="1" applyFill="1" applyBorder="1" applyAlignment="1">
      <alignment horizontal="center" vertical="center"/>
    </xf>
    <xf numFmtId="0" fontId="83" fillId="4" borderId="64" xfId="0" applyFont="1" applyFill="1" applyBorder="1" applyAlignment="1">
      <alignment horizontal="left" vertical="top"/>
    </xf>
    <xf numFmtId="0" fontId="47" fillId="4" borderId="64" xfId="0" applyFont="1" applyFill="1" applyBorder="1" applyAlignment="1">
      <alignment horizontal="center" vertical="center"/>
    </xf>
    <xf numFmtId="0" fontId="83" fillId="4" borderId="64" xfId="0" applyFont="1" applyFill="1" applyBorder="1" applyAlignment="1">
      <alignment horizontal="center" vertical="center"/>
    </xf>
    <xf numFmtId="0" fontId="47" fillId="4" borderId="70" xfId="0" applyFont="1" applyFill="1" applyBorder="1" applyAlignment="1">
      <alignment horizontal="center" vertical="center"/>
    </xf>
    <xf numFmtId="0" fontId="83" fillId="4" borderId="70" xfId="0" applyFont="1" applyFill="1" applyBorder="1" applyAlignment="1">
      <alignment horizontal="center" vertical="center"/>
    </xf>
    <xf numFmtId="0" fontId="83" fillId="0" borderId="0" xfId="0" applyFont="1" applyAlignment="1">
      <alignment vertical="center"/>
    </xf>
    <xf numFmtId="0" fontId="78" fillId="0" borderId="0" xfId="0" applyFont="1" applyAlignment="1">
      <alignment vertical="center"/>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 xfId="0" applyFont="1" applyBorder="1" applyAlignment="1">
      <alignment horizontal="center" vertical="center" wrapText="1"/>
    </xf>
    <xf numFmtId="0" fontId="5" fillId="2" borderId="4" xfId="0" applyFont="1" applyFill="1" applyBorder="1" applyAlignment="1">
      <alignment horizontal="left" vertical="center" wrapText="1" indent="2"/>
    </xf>
    <xf numFmtId="0" fontId="5" fillId="2" borderId="18" xfId="0" applyFont="1" applyFill="1" applyBorder="1" applyAlignment="1">
      <alignment horizontal="left" vertical="center" wrapText="1" indent="2"/>
    </xf>
    <xf numFmtId="0" fontId="5" fillId="2" borderId="5" xfId="0" applyFont="1" applyFill="1" applyBorder="1" applyAlignment="1">
      <alignment horizontal="left" vertical="center" wrapText="1" indent="2"/>
    </xf>
    <xf numFmtId="0" fontId="5" fillId="4" borderId="4"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5" borderId="18" xfId="0" applyFont="1" applyFill="1" applyBorder="1" applyAlignment="1">
      <alignment horizontal="left" vertical="center" wrapText="1"/>
    </xf>
    <xf numFmtId="0" fontId="5" fillId="5" borderId="5" xfId="0" applyFont="1" applyFill="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3" xfId="0" applyFont="1" applyBorder="1" applyAlignment="1">
      <alignment horizontal="left" vertical="center" wrapText="1"/>
    </xf>
    <xf numFmtId="14" fontId="6" fillId="0" borderId="6"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11" fillId="7" borderId="8" xfId="1" applyFont="1" applyFill="1" applyBorder="1" applyAlignment="1">
      <alignment horizontal="left" vertical="center" wrapText="1"/>
    </xf>
    <xf numFmtId="0" fontId="10" fillId="0" borderId="9" xfId="1" applyFont="1" applyBorder="1"/>
    <xf numFmtId="0" fontId="10" fillId="0" borderId="10" xfId="1" applyFont="1" applyBorder="1"/>
    <xf numFmtId="0" fontId="11" fillId="9" borderId="8" xfId="1" applyFont="1" applyFill="1" applyBorder="1" applyAlignment="1">
      <alignment horizontal="center" vertical="center" wrapText="1"/>
    </xf>
    <xf numFmtId="0" fontId="16" fillId="11" borderId="20" xfId="0" applyFont="1" applyFill="1" applyBorder="1" applyAlignment="1">
      <alignment horizontal="left" vertical="center" wrapText="1" indent="2"/>
    </xf>
    <xf numFmtId="0" fontId="16" fillId="11" borderId="21" xfId="0" applyFont="1" applyFill="1" applyBorder="1" applyAlignment="1">
      <alignment horizontal="left" vertical="center" wrapText="1" indent="2"/>
    </xf>
    <xf numFmtId="0" fontId="16" fillId="11" borderId="22" xfId="0" applyFont="1" applyFill="1" applyBorder="1" applyAlignment="1">
      <alignment horizontal="left" vertical="center" wrapText="1" indent="2"/>
    </xf>
    <xf numFmtId="0" fontId="17" fillId="4" borderId="20"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5" fillId="11" borderId="20"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25" fillId="11" borderId="22" xfId="0" applyFont="1" applyFill="1" applyBorder="1" applyAlignment="1">
      <alignment horizontal="center" vertical="center" wrapText="1"/>
    </xf>
    <xf numFmtId="0" fontId="26" fillId="4" borderId="20" xfId="0" applyFont="1" applyFill="1" applyBorder="1" applyAlignment="1">
      <alignment horizontal="center" vertical="center" wrapText="1"/>
    </xf>
    <xf numFmtId="0" fontId="26" fillId="4" borderId="21" xfId="0" applyFont="1" applyFill="1" applyBorder="1" applyAlignment="1">
      <alignment horizontal="center" vertical="center" wrapText="1"/>
    </xf>
    <xf numFmtId="0" fontId="26" fillId="4" borderId="22" xfId="0" applyFont="1" applyFill="1" applyBorder="1" applyAlignment="1">
      <alignment horizontal="center" vertical="center" wrapText="1"/>
    </xf>
    <xf numFmtId="0" fontId="26" fillId="5" borderId="26" xfId="0" applyFont="1" applyFill="1" applyBorder="1" applyAlignment="1">
      <alignment horizontal="center" vertical="center" wrapText="1"/>
    </xf>
    <xf numFmtId="0" fontId="26" fillId="5" borderId="27" xfId="0" applyFont="1" applyFill="1" applyBorder="1" applyAlignment="1">
      <alignment horizontal="center" vertical="center" wrapText="1"/>
    </xf>
    <xf numFmtId="0" fontId="26" fillId="5" borderId="24" xfId="0" applyFont="1" applyFill="1" applyBorder="1" applyAlignment="1">
      <alignment horizontal="center" vertical="center" wrapText="1"/>
    </xf>
    <xf numFmtId="0" fontId="17" fillId="5" borderId="26" xfId="0" applyFont="1" applyFill="1" applyBorder="1" applyAlignment="1">
      <alignment horizontal="left" vertical="center" wrapText="1"/>
    </xf>
    <xf numFmtId="0" fontId="17" fillId="5" borderId="27" xfId="0" applyFont="1" applyFill="1" applyBorder="1" applyAlignment="1">
      <alignment horizontal="left" vertical="center" wrapText="1"/>
    </xf>
    <xf numFmtId="0" fontId="17" fillId="5" borderId="24" xfId="0" applyFont="1" applyFill="1" applyBorder="1" applyAlignment="1">
      <alignment horizontal="left" vertical="center" wrapText="1"/>
    </xf>
    <xf numFmtId="0" fontId="17" fillId="5" borderId="32" xfId="0" applyFont="1" applyFill="1" applyBorder="1" applyAlignment="1">
      <alignment horizontal="left" vertical="top" wrapText="1"/>
    </xf>
    <xf numFmtId="0" fontId="17" fillId="5" borderId="33" xfId="0" applyFont="1" applyFill="1" applyBorder="1" applyAlignment="1">
      <alignment horizontal="left" vertical="top" wrapText="1"/>
    </xf>
    <xf numFmtId="0" fontId="17" fillId="5" borderId="34" xfId="0" applyFont="1" applyFill="1" applyBorder="1" applyAlignment="1">
      <alignment horizontal="left" vertical="top" wrapText="1"/>
    </xf>
    <xf numFmtId="0" fontId="17" fillId="5" borderId="32" xfId="0" applyFont="1" applyFill="1" applyBorder="1" applyAlignment="1">
      <alignment horizontal="left" vertical="center" wrapText="1"/>
    </xf>
    <xf numFmtId="0" fontId="17" fillId="5" borderId="33" xfId="0" applyFont="1" applyFill="1" applyBorder="1" applyAlignment="1">
      <alignment horizontal="left" vertical="center" wrapText="1"/>
    </xf>
    <xf numFmtId="0" fontId="17" fillId="5" borderId="34" xfId="0" applyFont="1" applyFill="1" applyBorder="1" applyAlignment="1">
      <alignment horizontal="left" vertical="center" wrapText="1"/>
    </xf>
    <xf numFmtId="0" fontId="55" fillId="6" borderId="28" xfId="0" applyFont="1" applyFill="1" applyBorder="1" applyAlignment="1">
      <alignment horizontal="center" vertical="center"/>
    </xf>
    <xf numFmtId="0" fontId="55" fillId="6" borderId="31" xfId="0" applyFont="1" applyFill="1" applyBorder="1" applyAlignment="1">
      <alignment horizontal="center" vertical="center"/>
    </xf>
    <xf numFmtId="0" fontId="55" fillId="6" borderId="28" xfId="0" applyFont="1" applyFill="1" applyBorder="1" applyAlignment="1">
      <alignment horizontal="center" vertical="center" wrapText="1"/>
    </xf>
    <xf numFmtId="0" fontId="55" fillId="6" borderId="31" xfId="0" applyFont="1" applyFill="1" applyBorder="1" applyAlignment="1">
      <alignment horizontal="center" vertical="center" wrapText="1"/>
    </xf>
    <xf numFmtId="0" fontId="55" fillId="6" borderId="28" xfId="0" applyFont="1" applyFill="1" applyBorder="1" applyAlignment="1">
      <alignment vertical="center" wrapText="1"/>
    </xf>
    <xf numFmtId="0" fontId="55" fillId="6" borderId="31" xfId="0" applyFont="1" applyFill="1" applyBorder="1" applyAlignment="1">
      <alignment vertical="center" wrapText="1"/>
    </xf>
    <xf numFmtId="0" fontId="55" fillId="6" borderId="28" xfId="0" applyFont="1" applyFill="1" applyBorder="1" applyAlignment="1">
      <alignment horizontal="left" vertical="center" wrapText="1"/>
    </xf>
    <xf numFmtId="0" fontId="55" fillId="6" borderId="31" xfId="0" applyFont="1" applyFill="1" applyBorder="1" applyAlignment="1">
      <alignment horizontal="left" vertical="center" wrapText="1"/>
    </xf>
    <xf numFmtId="0" fontId="55" fillId="6" borderId="48" xfId="0" applyFont="1" applyFill="1" applyBorder="1" applyAlignment="1">
      <alignment horizontal="center" vertical="center" wrapText="1"/>
    </xf>
    <xf numFmtId="0" fontId="21" fillId="18" borderId="42" xfId="0" applyFont="1" applyFill="1" applyBorder="1" applyAlignment="1">
      <alignment vertical="center" wrapText="1"/>
    </xf>
    <xf numFmtId="0" fontId="21" fillId="18" borderId="43" xfId="0" applyFont="1" applyFill="1" applyBorder="1" applyAlignment="1">
      <alignment vertical="center" wrapText="1"/>
    </xf>
    <xf numFmtId="0" fontId="21" fillId="18" borderId="44" xfId="0" applyFont="1" applyFill="1" applyBorder="1" applyAlignment="1">
      <alignment vertical="center" wrapText="1"/>
    </xf>
    <xf numFmtId="0" fontId="17" fillId="19" borderId="3" xfId="0" applyFont="1" applyFill="1" applyBorder="1" applyAlignment="1">
      <alignment horizontal="center" vertical="center" wrapText="1"/>
    </xf>
    <xf numFmtId="0" fontId="17" fillId="19" borderId="1" xfId="0" applyFont="1" applyFill="1" applyBorder="1" applyAlignment="1">
      <alignment horizontal="center" vertical="center" wrapText="1"/>
    </xf>
    <xf numFmtId="0" fontId="0" fillId="19" borderId="0" xfId="0" applyFill="1"/>
    <xf numFmtId="0" fontId="0" fillId="19" borderId="45" xfId="0" applyFill="1" applyBorder="1"/>
    <xf numFmtId="0" fontId="0" fillId="19" borderId="46" xfId="0" applyFill="1" applyBorder="1"/>
    <xf numFmtId="0" fontId="0" fillId="19" borderId="47" xfId="0" applyFill="1" applyBorder="1"/>
    <xf numFmtId="0" fontId="57" fillId="19" borderId="28" xfId="0" applyFont="1" applyFill="1" applyBorder="1" applyAlignment="1">
      <alignment horizontal="left" vertical="center" wrapText="1"/>
    </xf>
    <xf numFmtId="0" fontId="56" fillId="19" borderId="31" xfId="0" applyFont="1" applyFill="1" applyBorder="1" applyAlignment="1">
      <alignment horizontal="left" vertical="center" wrapText="1"/>
    </xf>
    <xf numFmtId="0" fontId="26" fillId="5" borderId="20" xfId="0" applyFont="1" applyFill="1" applyBorder="1" applyAlignment="1">
      <alignment horizontal="left" vertical="center" wrapText="1"/>
    </xf>
    <xf numFmtId="0" fontId="26" fillId="5" borderId="21" xfId="0" applyFont="1" applyFill="1" applyBorder="1" applyAlignment="1">
      <alignment horizontal="left" vertical="center" wrapText="1"/>
    </xf>
    <xf numFmtId="0" fontId="26" fillId="5" borderId="22" xfId="0" applyFont="1" applyFill="1" applyBorder="1" applyAlignment="1">
      <alignment horizontal="left" vertical="center" wrapText="1"/>
    </xf>
    <xf numFmtId="0" fontId="29" fillId="12" borderId="0" xfId="0" applyFont="1" applyFill="1" applyAlignment="1">
      <alignment horizontal="left" vertical="center"/>
    </xf>
    <xf numFmtId="0" fontId="25" fillId="11" borderId="20" xfId="0" applyFont="1" applyFill="1" applyBorder="1" applyAlignment="1">
      <alignment horizontal="left" vertical="center" wrapText="1" indent="2"/>
    </xf>
    <xf numFmtId="0" fontId="25" fillId="11" borderId="21" xfId="0" applyFont="1" applyFill="1" applyBorder="1" applyAlignment="1">
      <alignment horizontal="left" vertical="center" wrapText="1" indent="2"/>
    </xf>
    <xf numFmtId="0" fontId="25" fillId="11" borderId="22" xfId="0" applyFont="1" applyFill="1" applyBorder="1" applyAlignment="1">
      <alignment horizontal="left" vertical="center" wrapText="1" indent="2"/>
    </xf>
    <xf numFmtId="0" fontId="26" fillId="5" borderId="26" xfId="0" applyFont="1" applyFill="1" applyBorder="1" applyAlignment="1">
      <alignment horizontal="left" vertical="center" wrapText="1"/>
    </xf>
    <xf numFmtId="0" fontId="26" fillId="5" borderId="27" xfId="0" applyFont="1" applyFill="1" applyBorder="1" applyAlignment="1">
      <alignment horizontal="left" vertical="center" wrapText="1"/>
    </xf>
    <xf numFmtId="0" fontId="26" fillId="5" borderId="24" xfId="0" applyFont="1" applyFill="1" applyBorder="1" applyAlignment="1">
      <alignment horizontal="left" vertical="center" wrapText="1"/>
    </xf>
    <xf numFmtId="0" fontId="24" fillId="12" borderId="2" xfId="0" applyFont="1" applyFill="1" applyBorder="1" applyAlignment="1">
      <alignment horizontal="left" vertical="center"/>
    </xf>
    <xf numFmtId="0" fontId="29" fillId="12" borderId="0" xfId="0" applyFont="1" applyFill="1" applyAlignment="1">
      <alignment horizontal="left"/>
    </xf>
    <xf numFmtId="0" fontId="33" fillId="3" borderId="27" xfId="0" applyFont="1" applyFill="1" applyBorder="1" applyAlignment="1">
      <alignment horizontal="center" vertical="top" wrapText="1"/>
    </xf>
    <xf numFmtId="0" fontId="33" fillId="3" borderId="0" xfId="0" applyFont="1" applyFill="1" applyAlignment="1">
      <alignment horizontal="center" vertical="top" wrapText="1"/>
    </xf>
    <xf numFmtId="0" fontId="33" fillId="3" borderId="27" xfId="0" applyFont="1" applyFill="1" applyBorder="1" applyAlignment="1">
      <alignment horizontal="center" vertical="center" wrapText="1"/>
    </xf>
    <xf numFmtId="0" fontId="33" fillId="3" borderId="0" xfId="0" applyFont="1" applyFill="1" applyAlignment="1">
      <alignment horizontal="center" vertical="center" wrapText="1"/>
    </xf>
    <xf numFmtId="0" fontId="17" fillId="5" borderId="20" xfId="0" applyFont="1" applyFill="1" applyBorder="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24" fillId="14" borderId="36" xfId="0" applyFont="1" applyFill="1" applyBorder="1" applyAlignment="1">
      <alignment horizontal="center" vertical="center"/>
    </xf>
    <xf numFmtId="0" fontId="24" fillId="14" borderId="36" xfId="0" applyFont="1" applyFill="1" applyBorder="1" applyAlignment="1">
      <alignment horizontal="center" vertical="center" wrapText="1"/>
    </xf>
    <xf numFmtId="0" fontId="25" fillId="11" borderId="20" xfId="0" applyFont="1" applyFill="1" applyBorder="1" applyAlignment="1">
      <alignment horizontal="left" vertical="top" wrapText="1"/>
    </xf>
    <xf numFmtId="0" fontId="25" fillId="11" borderId="21" xfId="0" applyFont="1" applyFill="1" applyBorder="1" applyAlignment="1">
      <alignment horizontal="left" vertical="top" wrapText="1"/>
    </xf>
    <xf numFmtId="0" fontId="25" fillId="11" borderId="22" xfId="0" applyFont="1" applyFill="1" applyBorder="1" applyAlignment="1">
      <alignment horizontal="left" vertical="top" wrapText="1"/>
    </xf>
    <xf numFmtId="0" fontId="26" fillId="4" borderId="20" xfId="0" applyFont="1" applyFill="1" applyBorder="1" applyAlignment="1">
      <alignment horizontal="center" vertical="top" wrapText="1"/>
    </xf>
    <xf numFmtId="0" fontId="26" fillId="4" borderId="21" xfId="0" applyFont="1" applyFill="1" applyBorder="1" applyAlignment="1">
      <alignment horizontal="center" vertical="top" wrapText="1"/>
    </xf>
    <xf numFmtId="0" fontId="26" fillId="4" borderId="22" xfId="0" applyFont="1" applyFill="1" applyBorder="1" applyAlignment="1">
      <alignment horizontal="center" vertical="top" wrapText="1"/>
    </xf>
    <xf numFmtId="0" fontId="26" fillId="5" borderId="26" xfId="0" applyFont="1" applyFill="1" applyBorder="1" applyAlignment="1">
      <alignment horizontal="left" vertical="top" wrapText="1"/>
    </xf>
    <xf numFmtId="0" fontId="26" fillId="5" borderId="27" xfId="0" applyFont="1" applyFill="1" applyBorder="1" applyAlignment="1">
      <alignment horizontal="left" vertical="top" wrapText="1"/>
    </xf>
    <xf numFmtId="0" fontId="26" fillId="5" borderId="24" xfId="0" applyFont="1" applyFill="1" applyBorder="1" applyAlignment="1">
      <alignment horizontal="left" vertical="top" wrapText="1"/>
    </xf>
    <xf numFmtId="0" fontId="17" fillId="5" borderId="65" xfId="0" applyFont="1" applyFill="1" applyBorder="1" applyAlignment="1">
      <alignment horizontal="left" vertical="center" wrapText="1"/>
    </xf>
    <xf numFmtId="0" fontId="17" fillId="5" borderId="60" xfId="0" applyFont="1" applyFill="1" applyBorder="1" applyAlignment="1">
      <alignment horizontal="left" vertical="center" wrapText="1"/>
    </xf>
    <xf numFmtId="0" fontId="17" fillId="5" borderId="66" xfId="0" applyFont="1" applyFill="1" applyBorder="1" applyAlignment="1">
      <alignment horizontal="left" vertical="center" wrapText="1"/>
    </xf>
    <xf numFmtId="0" fontId="16" fillId="11" borderId="26" xfId="0" applyFont="1" applyFill="1" applyBorder="1" applyAlignment="1">
      <alignment horizontal="left" vertical="center" wrapText="1" indent="2"/>
    </xf>
    <xf numFmtId="0" fontId="16" fillId="11" borderId="27" xfId="0" applyFont="1" applyFill="1" applyBorder="1" applyAlignment="1">
      <alignment horizontal="left" vertical="center" wrapText="1" indent="2"/>
    </xf>
    <xf numFmtId="0" fontId="16" fillId="11" borderId="24" xfId="0" applyFont="1" applyFill="1" applyBorder="1" applyAlignment="1">
      <alignment horizontal="left" vertical="center" wrapText="1" indent="2"/>
    </xf>
  </cellXfs>
  <cellStyles count="8">
    <cellStyle name="Čárka 2" xfId="4" xr:uid="{0CBA77FD-6466-4E6A-A67D-3C98D5F110C0}"/>
    <cellStyle name="Normální" xfId="0" builtinId="0"/>
    <cellStyle name="Normální 2" xfId="1" xr:uid="{253EC5C7-33FC-49AF-944B-FCF27CC157C4}"/>
    <cellStyle name="Normální 2 2" xfId="2" xr:uid="{99B9CEDC-909C-421F-B883-B08E1FC46F8B}"/>
    <cellStyle name="Normální 2 3" xfId="3" xr:uid="{BA451640-C309-4EB2-B61B-C8835480BE3A}"/>
    <cellStyle name="Normální 3" xfId="6" xr:uid="{17BC0D03-EAEB-4A74-BA3D-B9F89FB1E96F}"/>
    <cellStyle name="Procenta" xfId="5" builtinId="5"/>
    <cellStyle name="Procenta 2" xfId="7" xr:uid="{529CDC73-2369-4364-B04C-2CB53403B21C}"/>
  </cellStyles>
  <dxfs count="4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rbová Kateřina" id="{94672E13-744E-482B-9587-379A2695C0A9}" userId="S::katerina.vrbova@mmr.cz::4f083b6c-e11b-4568-b77e-212b410455f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7" dT="2021-02-05T08:53:49.09" personId="{94672E13-744E-482B-9587-379A2695C0A9}" id="{405F73E6-9DBA-401A-BF2B-7F5262BD35FD}">
    <text>přesun pod bod 1</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28F1-D8AF-4B6E-BD3E-BCA17A2B8766}">
  <dimension ref="A2:AX106"/>
  <sheetViews>
    <sheetView tabSelected="1" zoomScale="55" zoomScaleNormal="55" workbookViewId="0">
      <pane xSplit="7" ySplit="7" topLeftCell="H8" activePane="bottomRight" state="frozen"/>
      <selection pane="topRight" activeCell="H1" sqref="H1"/>
      <selection pane="bottomLeft" activeCell="A8" sqref="A8"/>
      <selection pane="bottomRight" activeCell="H8" sqref="H8"/>
    </sheetView>
  </sheetViews>
  <sheetFormatPr defaultRowHeight="18.75" customHeight="1" outlineLevelCol="1"/>
  <cols>
    <col min="1" max="1" width="5" style="591" customWidth="1"/>
    <col min="2" max="3" width="2.140625" style="591" hidden="1" customWidth="1" outlineLevel="1"/>
    <col min="4" max="4" width="26" style="592" hidden="1" customWidth="1" outlineLevel="1"/>
    <col min="5" max="5" width="9.140625" collapsed="1"/>
  </cols>
  <sheetData>
    <row r="2" spans="1:50" ht="18.75" customHeight="1">
      <c r="AG2" t="s">
        <v>1944</v>
      </c>
    </row>
    <row r="3" spans="1:50" ht="18.75" customHeight="1" thickBot="1">
      <c r="AG3" t="s">
        <v>1945</v>
      </c>
    </row>
    <row r="4" spans="1:50" ht="18.75" customHeight="1">
      <c r="E4" s="536" t="s">
        <v>1901</v>
      </c>
      <c r="F4" s="536"/>
      <c r="G4" s="536"/>
      <c r="H4" s="536"/>
      <c r="I4" s="536"/>
      <c r="J4" s="536"/>
      <c r="K4" s="536"/>
      <c r="L4" s="536"/>
      <c r="M4" s="536"/>
      <c r="N4" s="536"/>
      <c r="O4" s="536"/>
      <c r="P4" s="536"/>
      <c r="Q4" s="536"/>
      <c r="R4" s="536"/>
      <c r="S4" s="536"/>
      <c r="T4" s="536"/>
      <c r="U4" s="536"/>
      <c r="V4" s="536"/>
      <c r="W4" s="536"/>
      <c r="X4" s="536"/>
      <c r="Y4" s="536"/>
      <c r="Z4" s="536"/>
      <c r="AA4" s="537"/>
      <c r="AB4" s="537"/>
      <c r="AC4" s="537"/>
      <c r="AD4" s="537"/>
      <c r="AE4" s="537"/>
      <c r="AG4" s="559" t="s">
        <v>1946</v>
      </c>
      <c r="AH4" s="560" t="s">
        <v>1947</v>
      </c>
      <c r="AI4" s="559" t="s">
        <v>1948</v>
      </c>
      <c r="AJ4" s="560" t="s">
        <v>1949</v>
      </c>
      <c r="AK4" s="559" t="s">
        <v>1950</v>
      </c>
      <c r="AL4" s="560" t="s">
        <v>1951</v>
      </c>
      <c r="AM4" s="561" t="s">
        <v>1952</v>
      </c>
      <c r="AN4" s="562"/>
      <c r="AO4" s="563"/>
      <c r="AP4" s="564"/>
      <c r="AQ4" s="564"/>
      <c r="AR4" s="565"/>
      <c r="AS4" s="566" t="s">
        <v>1953</v>
      </c>
      <c r="AT4" s="567"/>
      <c r="AU4" s="568" t="s">
        <v>1954</v>
      </c>
      <c r="AV4" s="564"/>
      <c r="AW4" s="564"/>
      <c r="AX4" s="564"/>
    </row>
    <row r="5" spans="1:50" ht="18.75" customHeight="1" thickBot="1">
      <c r="A5" s="592"/>
      <c r="B5" s="592"/>
      <c r="C5" s="592"/>
      <c r="D5" s="592" t="s">
        <v>2486</v>
      </c>
      <c r="E5" s="538" t="s">
        <v>1902</v>
      </c>
      <c r="F5" s="539" t="s">
        <v>1903</v>
      </c>
      <c r="G5" s="538" t="s">
        <v>1904</v>
      </c>
      <c r="H5" s="539" t="s">
        <v>1905</v>
      </c>
      <c r="I5" s="538" t="s">
        <v>1906</v>
      </c>
      <c r="J5" s="538" t="s">
        <v>1907</v>
      </c>
      <c r="K5" s="540" t="s">
        <v>1908</v>
      </c>
      <c r="L5" s="541"/>
      <c r="M5" s="541"/>
      <c r="N5" s="541"/>
      <c r="O5" s="541"/>
      <c r="P5" s="541"/>
      <c r="Q5" s="542"/>
      <c r="R5" s="543" t="s">
        <v>1971</v>
      </c>
      <c r="S5" s="543" t="s">
        <v>1909</v>
      </c>
      <c r="T5" s="544" t="s">
        <v>1910</v>
      </c>
      <c r="U5" s="545"/>
      <c r="V5" s="545"/>
      <c r="W5" s="545"/>
      <c r="X5" s="546"/>
      <c r="Y5" s="547" t="s">
        <v>1911</v>
      </c>
      <c r="Z5" s="539" t="s">
        <v>1912</v>
      </c>
      <c r="AA5" s="548"/>
      <c r="AB5" s="548"/>
      <c r="AC5" s="548"/>
      <c r="AD5" s="548"/>
      <c r="AE5" s="548"/>
      <c r="AG5" s="569"/>
      <c r="AH5" s="570"/>
      <c r="AI5" s="569"/>
      <c r="AJ5" s="570"/>
      <c r="AK5" s="569"/>
      <c r="AL5" s="570"/>
      <c r="AM5" s="571"/>
      <c r="AN5" s="572"/>
      <c r="AO5" s="573"/>
      <c r="AP5" s="574"/>
      <c r="AQ5" s="574"/>
      <c r="AR5" s="575"/>
      <c r="AS5" s="576"/>
      <c r="AT5" s="567"/>
      <c r="AU5" s="577"/>
      <c r="AV5" s="574"/>
      <c r="AW5" s="574"/>
      <c r="AX5" s="574"/>
    </row>
    <row r="6" spans="1:50" ht="18.75" customHeight="1" thickBot="1">
      <c r="A6" s="592"/>
      <c r="B6" s="592"/>
      <c r="C6" s="592"/>
      <c r="E6" s="549"/>
      <c r="F6" s="550"/>
      <c r="G6" s="549"/>
      <c r="H6" s="550"/>
      <c r="I6" s="549"/>
      <c r="J6" s="538"/>
      <c r="K6" s="549">
        <v>2020</v>
      </c>
      <c r="L6" s="549">
        <v>2021</v>
      </c>
      <c r="M6" s="549">
        <v>2022</v>
      </c>
      <c r="N6" s="549">
        <v>2023</v>
      </c>
      <c r="O6" s="549">
        <v>2024</v>
      </c>
      <c r="P6" s="549">
        <v>2025</v>
      </c>
      <c r="Q6" s="549">
        <v>2026</v>
      </c>
      <c r="R6" s="550" t="s">
        <v>1913</v>
      </c>
      <c r="S6" s="550"/>
      <c r="T6" s="550"/>
      <c r="U6" s="550" t="s">
        <v>1914</v>
      </c>
      <c r="V6" s="551" t="s">
        <v>1915</v>
      </c>
      <c r="W6" s="550" t="s">
        <v>1916</v>
      </c>
      <c r="X6" s="551" t="s">
        <v>1917</v>
      </c>
      <c r="Y6" s="550"/>
      <c r="Z6" s="543"/>
      <c r="AA6" s="552" t="s">
        <v>1918</v>
      </c>
      <c r="AB6" s="553"/>
      <c r="AC6" s="554"/>
      <c r="AD6" s="553" t="s">
        <v>1919</v>
      </c>
      <c r="AE6" s="554"/>
      <c r="AG6" s="569"/>
      <c r="AH6" s="570"/>
      <c r="AI6" s="569"/>
      <c r="AJ6" s="570"/>
      <c r="AK6" s="569"/>
      <c r="AL6" s="570"/>
      <c r="AM6" s="578" t="s">
        <v>1955</v>
      </c>
      <c r="AN6" s="578" t="s">
        <v>1956</v>
      </c>
      <c r="AO6" s="579" t="s">
        <v>1957</v>
      </c>
      <c r="AP6" s="580" t="s">
        <v>1958</v>
      </c>
      <c r="AQ6" s="581" t="s">
        <v>1959</v>
      </c>
      <c r="AR6" s="580" t="s">
        <v>1959</v>
      </c>
      <c r="AS6" s="566"/>
      <c r="AT6" s="567"/>
      <c r="AU6" s="581" t="s">
        <v>1960</v>
      </c>
      <c r="AV6" s="580" t="s">
        <v>1961</v>
      </c>
      <c r="AW6" s="581" t="s">
        <v>1962</v>
      </c>
      <c r="AX6" s="580" t="s">
        <v>1963</v>
      </c>
    </row>
    <row r="7" spans="1:50" ht="18.75" customHeight="1" thickBot="1">
      <c r="A7" s="592"/>
      <c r="B7" s="592"/>
      <c r="C7" s="592"/>
      <c r="E7" s="549"/>
      <c r="F7" s="550"/>
      <c r="G7" s="549"/>
      <c r="H7" s="550"/>
      <c r="I7" s="549"/>
      <c r="J7" s="538"/>
      <c r="K7" s="549"/>
      <c r="L7" s="549"/>
      <c r="M7" s="549"/>
      <c r="N7" s="549"/>
      <c r="O7" s="549"/>
      <c r="P7" s="549"/>
      <c r="Q7" s="549"/>
      <c r="R7" s="555" t="s">
        <v>1920</v>
      </c>
      <c r="S7" s="555" t="s">
        <v>1972</v>
      </c>
      <c r="T7" s="556" t="s">
        <v>1921</v>
      </c>
      <c r="U7" s="556"/>
      <c r="V7" s="550"/>
      <c r="W7" s="550"/>
      <c r="X7" s="550"/>
      <c r="Y7" s="550"/>
      <c r="Z7" s="543"/>
      <c r="AA7" s="557" t="s">
        <v>1922</v>
      </c>
      <c r="AB7" s="558" t="s">
        <v>1923</v>
      </c>
      <c r="AC7" s="558" t="s">
        <v>1924</v>
      </c>
      <c r="AD7" s="558" t="s">
        <v>1925</v>
      </c>
      <c r="AE7" s="558" t="s">
        <v>1926</v>
      </c>
      <c r="AG7" s="582"/>
      <c r="AH7" s="583"/>
      <c r="AI7" s="582"/>
      <c r="AJ7" s="583"/>
      <c r="AK7" s="582"/>
      <c r="AL7" s="583"/>
      <c r="AM7" s="584" t="s">
        <v>1964</v>
      </c>
      <c r="AN7" s="585" t="s">
        <v>1964</v>
      </c>
      <c r="AO7" s="586"/>
      <c r="AP7" s="587"/>
      <c r="AQ7" s="588"/>
      <c r="AR7" s="587"/>
      <c r="AS7" s="576"/>
      <c r="AT7" s="567"/>
      <c r="AU7" s="588"/>
      <c r="AV7" s="589"/>
      <c r="AW7" s="590"/>
      <c r="AX7" s="589"/>
    </row>
    <row r="8" spans="1:50" ht="18.75" customHeight="1">
      <c r="A8" s="591">
        <v>1</v>
      </c>
      <c r="B8" s="591" t="str">
        <f>LEFT(E8,1)</f>
        <v>1</v>
      </c>
      <c r="D8" s="592" t="str">
        <f>IF(E8=E7,"",E8)</f>
        <v>1.2. Digitální systémy státní správy</v>
      </c>
      <c r="E8" t="s">
        <v>2060</v>
      </c>
      <c r="G8" t="s">
        <v>2061</v>
      </c>
      <c r="I8" t="s">
        <v>1986</v>
      </c>
      <c r="J8">
        <v>82</v>
      </c>
      <c r="K8">
        <v>0</v>
      </c>
      <c r="L8">
        <v>8</v>
      </c>
      <c r="M8">
        <v>32</v>
      </c>
      <c r="N8">
        <v>17</v>
      </c>
      <c r="O8">
        <v>18</v>
      </c>
      <c r="P8">
        <v>7</v>
      </c>
      <c r="Q8">
        <v>0</v>
      </c>
      <c r="R8">
        <v>0</v>
      </c>
    </row>
    <row r="9" spans="1:50" ht="18.75" customHeight="1">
      <c r="A9" s="591">
        <v>2</v>
      </c>
      <c r="B9" s="591" t="str">
        <f t="shared" ref="B9:B72" si="0">LEFT(E9,1)</f>
        <v>1</v>
      </c>
      <c r="D9" s="592" t="str">
        <f t="shared" ref="D9:D72" si="1">IF(E9=E8,"",E9)</f>
        <v xml:space="preserve">1.3 Digitální vysokorychlostní sítě </v>
      </c>
      <c r="E9" t="s">
        <v>1927</v>
      </c>
      <c r="G9" t="s">
        <v>1887</v>
      </c>
      <c r="I9" t="s">
        <v>1928</v>
      </c>
      <c r="J9">
        <v>1700</v>
      </c>
      <c r="K9">
        <v>0</v>
      </c>
      <c r="L9">
        <v>0</v>
      </c>
      <c r="M9">
        <v>200</v>
      </c>
      <c r="N9">
        <v>100</v>
      </c>
      <c r="O9">
        <v>0</v>
      </c>
      <c r="P9">
        <v>0</v>
      </c>
      <c r="Q9">
        <v>1400</v>
      </c>
      <c r="R9" t="s">
        <v>28</v>
      </c>
      <c r="T9" t="s">
        <v>28</v>
      </c>
      <c r="V9" t="s">
        <v>28</v>
      </c>
      <c r="X9" t="s">
        <v>1930</v>
      </c>
      <c r="Z9" t="s">
        <v>1931</v>
      </c>
      <c r="AA9" t="s">
        <v>28</v>
      </c>
      <c r="AC9" t="s">
        <v>1932</v>
      </c>
      <c r="AG9" t="s">
        <v>1965</v>
      </c>
      <c r="AI9" t="s">
        <v>1927</v>
      </c>
      <c r="AK9" t="s">
        <v>1887</v>
      </c>
      <c r="AM9">
        <v>0</v>
      </c>
      <c r="AN9">
        <v>0</v>
      </c>
      <c r="AO9" t="s">
        <v>1966</v>
      </c>
      <c r="AQ9" t="s">
        <v>1967</v>
      </c>
      <c r="AS9">
        <v>1</v>
      </c>
      <c r="AU9">
        <v>0</v>
      </c>
      <c r="AW9">
        <v>1</v>
      </c>
    </row>
    <row r="10" spans="1:50" ht="18.75" customHeight="1">
      <c r="A10" s="591">
        <v>3</v>
      </c>
      <c r="B10" s="591" t="str">
        <f t="shared" si="0"/>
        <v>1</v>
      </c>
      <c r="D10" s="592" t="str">
        <f t="shared" si="1"/>
        <v/>
      </c>
      <c r="E10" t="s">
        <v>1927</v>
      </c>
      <c r="G10" t="s">
        <v>1888</v>
      </c>
      <c r="I10" t="s">
        <v>1928</v>
      </c>
      <c r="J10">
        <v>32</v>
      </c>
      <c r="K10">
        <v>0</v>
      </c>
      <c r="L10">
        <v>2</v>
      </c>
      <c r="M10">
        <v>5</v>
      </c>
      <c r="N10">
        <v>5</v>
      </c>
      <c r="O10">
        <v>5</v>
      </c>
      <c r="P10">
        <v>5</v>
      </c>
      <c r="Q10">
        <v>5</v>
      </c>
      <c r="X10" t="s">
        <v>1930</v>
      </c>
      <c r="Z10" t="s">
        <v>1934</v>
      </c>
      <c r="AA10" t="s">
        <v>28</v>
      </c>
      <c r="AB10" t="s">
        <v>28</v>
      </c>
      <c r="AC10" t="s">
        <v>63</v>
      </c>
      <c r="AG10" t="s">
        <v>1965</v>
      </c>
      <c r="AI10" t="s">
        <v>1927</v>
      </c>
      <c r="AK10" t="s">
        <v>1888</v>
      </c>
      <c r="AM10">
        <v>0</v>
      </c>
      <c r="AN10">
        <v>0</v>
      </c>
      <c r="AO10" t="s">
        <v>1968</v>
      </c>
      <c r="AQ10" t="s">
        <v>1967</v>
      </c>
      <c r="AS10">
        <v>1</v>
      </c>
      <c r="AU10">
        <v>0</v>
      </c>
      <c r="AW10">
        <v>1</v>
      </c>
    </row>
    <row r="11" spans="1:50" ht="18.75" customHeight="1">
      <c r="A11" s="591">
        <v>4</v>
      </c>
      <c r="B11" s="591" t="str">
        <f t="shared" si="0"/>
        <v>1</v>
      </c>
      <c r="D11" s="592" t="str">
        <f t="shared" si="1"/>
        <v/>
      </c>
      <c r="E11" t="s">
        <v>1927</v>
      </c>
      <c r="G11" t="s">
        <v>1889</v>
      </c>
      <c r="I11" t="s">
        <v>1928</v>
      </c>
      <c r="J11">
        <v>3400</v>
      </c>
      <c r="K11">
        <v>0</v>
      </c>
      <c r="L11">
        <v>0</v>
      </c>
      <c r="M11">
        <v>0</v>
      </c>
      <c r="N11">
        <v>1.1000000000000001</v>
      </c>
      <c r="O11">
        <v>0</v>
      </c>
      <c r="P11">
        <v>0</v>
      </c>
      <c r="Q11">
        <v>2300</v>
      </c>
      <c r="R11" t="s">
        <v>1936</v>
      </c>
      <c r="T11" t="s">
        <v>28</v>
      </c>
      <c r="V11" t="s">
        <v>1937</v>
      </c>
      <c r="X11" t="s">
        <v>1930</v>
      </c>
      <c r="Z11" t="s">
        <v>1040</v>
      </c>
      <c r="AA11" t="s">
        <v>28</v>
      </c>
      <c r="AB11" t="s">
        <v>1938</v>
      </c>
      <c r="AC11" t="s">
        <v>1939</v>
      </c>
      <c r="AD11" t="s">
        <v>1940</v>
      </c>
      <c r="AG11" t="s">
        <v>1965</v>
      </c>
      <c r="AI11" t="s">
        <v>1927</v>
      </c>
      <c r="AK11" t="s">
        <v>1889</v>
      </c>
      <c r="AM11">
        <v>0</v>
      </c>
      <c r="AN11">
        <v>0</v>
      </c>
      <c r="AO11" t="s">
        <v>1969</v>
      </c>
      <c r="AQ11" t="s">
        <v>1967</v>
      </c>
      <c r="AS11">
        <v>1</v>
      </c>
      <c r="AU11">
        <v>0</v>
      </c>
      <c r="AW11">
        <v>1</v>
      </c>
    </row>
    <row r="12" spans="1:50" ht="18.75" customHeight="1">
      <c r="A12" s="591">
        <v>5</v>
      </c>
      <c r="B12" s="591" t="str">
        <f t="shared" si="0"/>
        <v>1</v>
      </c>
      <c r="D12" s="592" t="str">
        <f t="shared" si="1"/>
        <v/>
      </c>
      <c r="E12" t="s">
        <v>1927</v>
      </c>
      <c r="G12" t="s">
        <v>1890</v>
      </c>
      <c r="I12" t="s">
        <v>1928</v>
      </c>
      <c r="J12">
        <v>973</v>
      </c>
      <c r="K12">
        <v>0</v>
      </c>
      <c r="L12">
        <v>0</v>
      </c>
      <c r="M12">
        <v>100</v>
      </c>
      <c r="N12">
        <v>500</v>
      </c>
      <c r="O12">
        <v>200</v>
      </c>
      <c r="P12">
        <v>100</v>
      </c>
      <c r="Q12">
        <v>100</v>
      </c>
      <c r="R12" t="s">
        <v>28</v>
      </c>
      <c r="T12" t="s">
        <v>28</v>
      </c>
      <c r="V12" t="s">
        <v>28</v>
      </c>
      <c r="X12" t="s">
        <v>1930</v>
      </c>
      <c r="AA12" t="s">
        <v>28</v>
      </c>
      <c r="AB12" t="s">
        <v>1942</v>
      </c>
      <c r="AC12" t="s">
        <v>1943</v>
      </c>
      <c r="AD12" t="s">
        <v>56</v>
      </c>
      <c r="AG12" t="s">
        <v>1965</v>
      </c>
      <c r="AI12" t="s">
        <v>1927</v>
      </c>
      <c r="AK12" t="s">
        <v>1890</v>
      </c>
      <c r="AM12">
        <v>0.4</v>
      </c>
      <c r="AN12">
        <v>0</v>
      </c>
      <c r="AO12" t="s">
        <v>1970</v>
      </c>
      <c r="AQ12" t="s">
        <v>1967</v>
      </c>
      <c r="AS12">
        <v>1</v>
      </c>
      <c r="AU12">
        <v>0.4</v>
      </c>
      <c r="AW12">
        <v>1</v>
      </c>
    </row>
    <row r="13" spans="1:50" ht="18.75" customHeight="1">
      <c r="A13" s="591">
        <v>6</v>
      </c>
      <c r="B13" s="591" t="str">
        <f t="shared" si="0"/>
        <v>1</v>
      </c>
      <c r="D13" s="592" t="str">
        <f t="shared" si="1"/>
        <v>1.4 Digitální ekonomika</v>
      </c>
      <c r="E13" t="s">
        <v>122</v>
      </c>
      <c r="G13" t="s">
        <v>123</v>
      </c>
      <c r="I13" t="s">
        <v>1973</v>
      </c>
      <c r="J13">
        <v>20</v>
      </c>
      <c r="K13">
        <v>0</v>
      </c>
      <c r="L13">
        <v>4</v>
      </c>
      <c r="M13">
        <v>4</v>
      </c>
      <c r="N13">
        <v>4</v>
      </c>
      <c r="O13">
        <v>4</v>
      </c>
      <c r="P13">
        <v>4</v>
      </c>
      <c r="Q13">
        <v>0</v>
      </c>
      <c r="R13" t="s">
        <v>129</v>
      </c>
      <c r="S13" t="s">
        <v>129</v>
      </c>
      <c r="U13" t="s">
        <v>1974</v>
      </c>
      <c r="Y13" t="s">
        <v>1975</v>
      </c>
      <c r="AG13" t="s">
        <v>1965</v>
      </c>
      <c r="AI13" t="s">
        <v>122</v>
      </c>
      <c r="AK13" t="s">
        <v>123</v>
      </c>
      <c r="AM13">
        <v>0</v>
      </c>
      <c r="AN13">
        <v>0</v>
      </c>
      <c r="AO13">
        <v>21</v>
      </c>
      <c r="AQ13" t="s">
        <v>1985</v>
      </c>
      <c r="AS13">
        <v>1</v>
      </c>
      <c r="AU13">
        <v>0</v>
      </c>
      <c r="AW13">
        <v>1</v>
      </c>
    </row>
    <row r="14" spans="1:50" ht="18.75" customHeight="1">
      <c r="A14" s="591">
        <v>7</v>
      </c>
      <c r="B14" s="591" t="str">
        <f t="shared" si="0"/>
        <v>1</v>
      </c>
      <c r="D14" s="592" t="str">
        <f t="shared" si="1"/>
        <v/>
      </c>
      <c r="E14" t="s">
        <v>122</v>
      </c>
      <c r="G14" t="s">
        <v>131</v>
      </c>
      <c r="I14" t="s">
        <v>1976</v>
      </c>
      <c r="J14">
        <v>240</v>
      </c>
      <c r="K14">
        <v>0</v>
      </c>
      <c r="L14">
        <v>0</v>
      </c>
      <c r="M14">
        <v>80</v>
      </c>
      <c r="N14">
        <v>80</v>
      </c>
      <c r="O14">
        <v>80</v>
      </c>
      <c r="P14">
        <v>0</v>
      </c>
      <c r="Q14">
        <v>0</v>
      </c>
      <c r="R14" t="s">
        <v>1977</v>
      </c>
      <c r="U14" t="s">
        <v>1978</v>
      </c>
      <c r="W14" t="s">
        <v>1979</v>
      </c>
      <c r="Y14" t="s">
        <v>1975</v>
      </c>
      <c r="AG14" t="s">
        <v>1965</v>
      </c>
      <c r="AI14" t="s">
        <v>122</v>
      </c>
      <c r="AK14" t="s">
        <v>131</v>
      </c>
      <c r="AM14">
        <v>0</v>
      </c>
      <c r="AN14">
        <v>0</v>
      </c>
      <c r="AO14">
        <v>21</v>
      </c>
      <c r="AQ14" t="s">
        <v>1985</v>
      </c>
      <c r="AS14">
        <v>1</v>
      </c>
      <c r="AU14">
        <v>0</v>
      </c>
      <c r="AW14">
        <v>1</v>
      </c>
    </row>
    <row r="15" spans="1:50" ht="18.75" customHeight="1">
      <c r="A15" s="591">
        <v>8</v>
      </c>
      <c r="B15" s="591" t="str">
        <f t="shared" si="0"/>
        <v>1</v>
      </c>
      <c r="D15" s="592" t="str">
        <f t="shared" si="1"/>
        <v/>
      </c>
      <c r="E15" t="s">
        <v>122</v>
      </c>
      <c r="G15" t="s">
        <v>150</v>
      </c>
      <c r="I15" t="s">
        <v>1928</v>
      </c>
      <c r="J15">
        <v>30</v>
      </c>
      <c r="K15">
        <v>0</v>
      </c>
      <c r="L15">
        <v>10</v>
      </c>
      <c r="M15">
        <v>10</v>
      </c>
      <c r="N15">
        <v>10</v>
      </c>
      <c r="O15">
        <v>0</v>
      </c>
      <c r="P15">
        <v>0</v>
      </c>
      <c r="Q15">
        <v>0</v>
      </c>
      <c r="R15" t="s">
        <v>1980</v>
      </c>
      <c r="U15" t="s">
        <v>1981</v>
      </c>
      <c r="W15" t="s">
        <v>1982</v>
      </c>
      <c r="Y15" t="s">
        <v>1975</v>
      </c>
      <c r="AA15" t="s">
        <v>1983</v>
      </c>
      <c r="AB15" t="s">
        <v>1983</v>
      </c>
      <c r="AC15" t="s">
        <v>1983</v>
      </c>
      <c r="AD15" t="s">
        <v>1984</v>
      </c>
      <c r="AE15" t="s">
        <v>1985</v>
      </c>
      <c r="AG15" t="s">
        <v>1965</v>
      </c>
      <c r="AI15" t="s">
        <v>122</v>
      </c>
      <c r="AK15" t="s">
        <v>150</v>
      </c>
      <c r="AM15">
        <v>0</v>
      </c>
      <c r="AN15">
        <v>0</v>
      </c>
      <c r="AO15">
        <v>21</v>
      </c>
      <c r="AQ15" t="s">
        <v>1985</v>
      </c>
      <c r="AS15">
        <v>1</v>
      </c>
      <c r="AU15">
        <v>0</v>
      </c>
      <c r="AW15">
        <v>1</v>
      </c>
    </row>
    <row r="16" spans="1:50" ht="18.75" customHeight="1">
      <c r="A16" s="591">
        <v>9</v>
      </c>
      <c r="B16" s="591" t="str">
        <f t="shared" si="0"/>
        <v>1</v>
      </c>
      <c r="D16" s="592" t="str">
        <f t="shared" si="1"/>
        <v/>
      </c>
      <c r="E16" t="s">
        <v>122</v>
      </c>
      <c r="G16" t="s">
        <v>163</v>
      </c>
      <c r="I16" t="s">
        <v>1986</v>
      </c>
      <c r="J16">
        <v>170</v>
      </c>
      <c r="K16">
        <v>0</v>
      </c>
      <c r="L16">
        <v>20</v>
      </c>
      <c r="M16">
        <v>50</v>
      </c>
      <c r="N16">
        <v>50</v>
      </c>
      <c r="O16">
        <v>50</v>
      </c>
      <c r="P16">
        <v>0</v>
      </c>
      <c r="Q16">
        <v>0</v>
      </c>
      <c r="R16" t="s">
        <v>129</v>
      </c>
      <c r="U16" t="s">
        <v>1987</v>
      </c>
      <c r="W16" t="s">
        <v>1987</v>
      </c>
      <c r="Y16" t="s">
        <v>1975</v>
      </c>
      <c r="AA16" t="s">
        <v>1983</v>
      </c>
      <c r="AB16" t="s">
        <v>1983</v>
      </c>
      <c r="AC16" t="s">
        <v>1983</v>
      </c>
      <c r="AD16" t="s">
        <v>1988</v>
      </c>
      <c r="AE16" t="s">
        <v>1985</v>
      </c>
      <c r="AG16" t="s">
        <v>1965</v>
      </c>
      <c r="AI16" t="s">
        <v>122</v>
      </c>
      <c r="AK16" t="s">
        <v>163</v>
      </c>
      <c r="AM16">
        <v>0</v>
      </c>
      <c r="AN16">
        <v>0</v>
      </c>
      <c r="AO16">
        <v>21</v>
      </c>
      <c r="AQ16" t="s">
        <v>1985</v>
      </c>
      <c r="AS16">
        <v>1</v>
      </c>
      <c r="AU16">
        <v>0</v>
      </c>
      <c r="AW16">
        <v>1</v>
      </c>
    </row>
    <row r="17" spans="1:49" ht="18.75" customHeight="1">
      <c r="A17" s="591">
        <v>10</v>
      </c>
      <c r="B17" s="591" t="str">
        <f t="shared" si="0"/>
        <v>1</v>
      </c>
      <c r="D17" s="592" t="str">
        <f t="shared" si="1"/>
        <v/>
      </c>
      <c r="E17" t="s">
        <v>122</v>
      </c>
      <c r="G17" t="s">
        <v>174</v>
      </c>
      <c r="I17" t="s">
        <v>1986</v>
      </c>
      <c r="J17">
        <v>110</v>
      </c>
      <c r="K17">
        <v>0</v>
      </c>
      <c r="L17">
        <v>0</v>
      </c>
      <c r="M17">
        <v>40</v>
      </c>
      <c r="N17">
        <v>40</v>
      </c>
      <c r="O17">
        <v>30</v>
      </c>
      <c r="P17">
        <v>0</v>
      </c>
      <c r="Q17">
        <v>0</v>
      </c>
      <c r="R17" t="s">
        <v>129</v>
      </c>
      <c r="U17" t="s">
        <v>1989</v>
      </c>
      <c r="W17" t="s">
        <v>1989</v>
      </c>
      <c r="Y17" t="s">
        <v>1975</v>
      </c>
      <c r="AA17" t="s">
        <v>1983</v>
      </c>
      <c r="AB17" t="s">
        <v>1983</v>
      </c>
      <c r="AC17" t="s">
        <v>1983</v>
      </c>
      <c r="AD17" t="s">
        <v>1990</v>
      </c>
      <c r="AE17" t="s">
        <v>1991</v>
      </c>
      <c r="AG17" t="s">
        <v>1965</v>
      </c>
      <c r="AI17" t="s">
        <v>122</v>
      </c>
      <c r="AK17" t="s">
        <v>174</v>
      </c>
      <c r="AM17">
        <v>0</v>
      </c>
      <c r="AN17">
        <v>0</v>
      </c>
      <c r="AO17">
        <v>21</v>
      </c>
      <c r="AQ17" t="s">
        <v>1985</v>
      </c>
      <c r="AS17">
        <v>1</v>
      </c>
      <c r="AU17">
        <v>0</v>
      </c>
      <c r="AW17">
        <v>1</v>
      </c>
    </row>
    <row r="18" spans="1:49" ht="18.75" customHeight="1">
      <c r="A18" s="591">
        <v>11</v>
      </c>
      <c r="B18" s="591" t="str">
        <f t="shared" si="0"/>
        <v>1</v>
      </c>
      <c r="D18" s="592" t="str">
        <f t="shared" si="1"/>
        <v/>
      </c>
      <c r="E18" t="s">
        <v>122</v>
      </c>
      <c r="G18" t="s">
        <v>184</v>
      </c>
      <c r="I18" t="s">
        <v>1928</v>
      </c>
      <c r="J18">
        <v>225</v>
      </c>
      <c r="K18">
        <v>0</v>
      </c>
      <c r="L18">
        <v>25</v>
      </c>
      <c r="M18">
        <v>100</v>
      </c>
      <c r="N18">
        <v>100</v>
      </c>
      <c r="O18">
        <v>0</v>
      </c>
      <c r="P18">
        <v>0</v>
      </c>
      <c r="Q18">
        <v>0</v>
      </c>
      <c r="R18" t="s">
        <v>1992</v>
      </c>
      <c r="U18" t="s">
        <v>1993</v>
      </c>
      <c r="W18" t="s">
        <v>1994</v>
      </c>
      <c r="Y18" t="s">
        <v>1975</v>
      </c>
      <c r="AA18" t="s">
        <v>1983</v>
      </c>
      <c r="AB18" t="s">
        <v>1983</v>
      </c>
      <c r="AC18" t="s">
        <v>1983</v>
      </c>
      <c r="AD18" t="s">
        <v>1995</v>
      </c>
      <c r="AE18" t="s">
        <v>1991</v>
      </c>
      <c r="AG18" t="s">
        <v>1965</v>
      </c>
      <c r="AI18" t="s">
        <v>122</v>
      </c>
      <c r="AK18" t="s">
        <v>184</v>
      </c>
      <c r="AM18">
        <v>0</v>
      </c>
      <c r="AN18">
        <v>0</v>
      </c>
      <c r="AO18">
        <v>10</v>
      </c>
      <c r="AQ18" t="s">
        <v>1985</v>
      </c>
      <c r="AS18">
        <v>1</v>
      </c>
      <c r="AU18">
        <v>0</v>
      </c>
      <c r="AW18">
        <v>1</v>
      </c>
    </row>
    <row r="19" spans="1:49" ht="18.75" customHeight="1">
      <c r="A19" s="591">
        <v>12</v>
      </c>
      <c r="B19" s="591" t="str">
        <f t="shared" si="0"/>
        <v>1</v>
      </c>
      <c r="D19" s="592" t="str">
        <f t="shared" si="1"/>
        <v/>
      </c>
      <c r="E19" t="s">
        <v>122</v>
      </c>
      <c r="G19" t="s">
        <v>208</v>
      </c>
      <c r="I19" t="s">
        <v>1928</v>
      </c>
      <c r="J19">
        <v>1250</v>
      </c>
      <c r="K19">
        <v>0</v>
      </c>
      <c r="L19">
        <v>250</v>
      </c>
      <c r="M19">
        <v>500</v>
      </c>
      <c r="N19">
        <v>500</v>
      </c>
      <c r="O19">
        <v>0</v>
      </c>
      <c r="P19">
        <v>0</v>
      </c>
      <c r="Q19">
        <v>0</v>
      </c>
      <c r="R19" t="s">
        <v>1996</v>
      </c>
      <c r="U19" t="s">
        <v>129</v>
      </c>
      <c r="W19" t="s">
        <v>1997</v>
      </c>
      <c r="Y19" t="s">
        <v>1975</v>
      </c>
      <c r="AA19" t="s">
        <v>1983</v>
      </c>
      <c r="AB19" t="s">
        <v>1983</v>
      </c>
      <c r="AC19" t="s">
        <v>1983</v>
      </c>
      <c r="AD19" t="s">
        <v>238</v>
      </c>
      <c r="AE19" t="s">
        <v>1998</v>
      </c>
      <c r="AG19" t="s">
        <v>1965</v>
      </c>
      <c r="AI19" t="s">
        <v>122</v>
      </c>
      <c r="AK19" t="s">
        <v>208</v>
      </c>
      <c r="AM19">
        <v>0</v>
      </c>
      <c r="AN19">
        <v>0</v>
      </c>
      <c r="AO19">
        <v>11</v>
      </c>
      <c r="AQ19" t="s">
        <v>1985</v>
      </c>
      <c r="AS19">
        <v>1</v>
      </c>
      <c r="AU19">
        <v>0.4</v>
      </c>
      <c r="AW19">
        <v>1</v>
      </c>
    </row>
    <row r="20" spans="1:49" ht="18.75" customHeight="1">
      <c r="A20" s="591">
        <v>13</v>
      </c>
      <c r="B20" s="591" t="str">
        <f t="shared" si="0"/>
        <v>1</v>
      </c>
      <c r="D20" s="592" t="str">
        <f t="shared" si="1"/>
        <v/>
      </c>
      <c r="E20" t="s">
        <v>122</v>
      </c>
      <c r="G20" t="s">
        <v>296</v>
      </c>
      <c r="I20" t="s">
        <v>1973</v>
      </c>
      <c r="J20">
        <v>10</v>
      </c>
      <c r="K20">
        <v>0</v>
      </c>
      <c r="L20">
        <v>2</v>
      </c>
      <c r="M20">
        <v>2</v>
      </c>
      <c r="N20">
        <v>2</v>
      </c>
      <c r="O20">
        <v>2</v>
      </c>
      <c r="P20">
        <v>2</v>
      </c>
      <c r="Q20">
        <v>0</v>
      </c>
      <c r="R20" t="s">
        <v>129</v>
      </c>
      <c r="S20" t="s">
        <v>129</v>
      </c>
      <c r="U20" t="s">
        <v>1974</v>
      </c>
      <c r="Y20" t="s">
        <v>1975</v>
      </c>
      <c r="AG20" t="s">
        <v>1965</v>
      </c>
      <c r="AI20" t="s">
        <v>122</v>
      </c>
      <c r="AK20" t="s">
        <v>296</v>
      </c>
      <c r="AM20">
        <v>0</v>
      </c>
      <c r="AN20">
        <v>0</v>
      </c>
      <c r="AO20">
        <v>10</v>
      </c>
      <c r="AQ20" t="s">
        <v>1985</v>
      </c>
      <c r="AS20">
        <v>1</v>
      </c>
      <c r="AU20">
        <v>0</v>
      </c>
      <c r="AW20">
        <v>1</v>
      </c>
    </row>
    <row r="21" spans="1:49" ht="18.75" customHeight="1">
      <c r="A21" s="591">
        <v>14</v>
      </c>
      <c r="B21" s="591" t="str">
        <f t="shared" si="0"/>
        <v>1</v>
      </c>
      <c r="D21" s="592" t="str">
        <f t="shared" si="1"/>
        <v/>
      </c>
      <c r="E21" t="s">
        <v>122</v>
      </c>
      <c r="G21" t="s">
        <v>303</v>
      </c>
      <c r="I21" t="s">
        <v>1999</v>
      </c>
      <c r="J21">
        <v>600</v>
      </c>
      <c r="K21">
        <v>0</v>
      </c>
      <c r="L21">
        <v>200</v>
      </c>
      <c r="M21">
        <v>200</v>
      </c>
      <c r="N21">
        <v>200</v>
      </c>
      <c r="O21">
        <v>0</v>
      </c>
      <c r="P21">
        <v>0</v>
      </c>
      <c r="Q21">
        <v>0</v>
      </c>
      <c r="R21" t="s">
        <v>129</v>
      </c>
      <c r="U21" t="s">
        <v>2000</v>
      </c>
      <c r="W21" t="s">
        <v>129</v>
      </c>
      <c r="Y21" t="s">
        <v>1975</v>
      </c>
      <c r="AA21" t="s">
        <v>1983</v>
      </c>
      <c r="AB21" t="s">
        <v>1983</v>
      </c>
      <c r="AC21" t="s">
        <v>1983</v>
      </c>
      <c r="AD21" t="s">
        <v>2001</v>
      </c>
      <c r="AE21" t="s">
        <v>1991</v>
      </c>
      <c r="AG21" t="s">
        <v>1965</v>
      </c>
      <c r="AI21" t="s">
        <v>122</v>
      </c>
      <c r="AK21" t="s">
        <v>303</v>
      </c>
      <c r="AM21">
        <v>0</v>
      </c>
      <c r="AN21">
        <v>0</v>
      </c>
      <c r="AO21">
        <v>10</v>
      </c>
      <c r="AQ21" t="s">
        <v>1985</v>
      </c>
      <c r="AS21">
        <v>1</v>
      </c>
      <c r="AU21">
        <v>0</v>
      </c>
      <c r="AW21">
        <v>1</v>
      </c>
    </row>
    <row r="22" spans="1:49" ht="18.75" customHeight="1">
      <c r="A22" s="591">
        <v>15</v>
      </c>
      <c r="B22" s="591" t="str">
        <f t="shared" si="0"/>
        <v>1</v>
      </c>
      <c r="D22" s="592" t="str">
        <f t="shared" si="1"/>
        <v/>
      </c>
      <c r="E22" t="s">
        <v>122</v>
      </c>
      <c r="F22">
        <v>0</v>
      </c>
      <c r="G22" t="s">
        <v>313</v>
      </c>
      <c r="H22">
        <v>0</v>
      </c>
      <c r="I22" t="s">
        <v>1928</v>
      </c>
      <c r="J22">
        <v>150</v>
      </c>
      <c r="K22">
        <v>0</v>
      </c>
      <c r="L22">
        <v>50</v>
      </c>
      <c r="M22">
        <v>50</v>
      </c>
      <c r="N22">
        <v>50</v>
      </c>
      <c r="O22">
        <v>0</v>
      </c>
      <c r="P22">
        <v>0</v>
      </c>
      <c r="Q22">
        <v>0</v>
      </c>
      <c r="S22" t="s">
        <v>2002</v>
      </c>
      <c r="T22" t="s">
        <v>2003</v>
      </c>
      <c r="W22" t="s">
        <v>2004</v>
      </c>
      <c r="X22" t="s">
        <v>2005</v>
      </c>
      <c r="AA22" t="s">
        <v>2006</v>
      </c>
      <c r="AD22" t="s">
        <v>2007</v>
      </c>
      <c r="AG22" t="s">
        <v>1965</v>
      </c>
      <c r="AI22" t="s">
        <v>122</v>
      </c>
      <c r="AK22" t="s">
        <v>313</v>
      </c>
      <c r="AM22">
        <v>0</v>
      </c>
      <c r="AN22">
        <v>0</v>
      </c>
      <c r="AO22">
        <v>18</v>
      </c>
      <c r="AQ22" t="s">
        <v>1985</v>
      </c>
      <c r="AS22">
        <v>1</v>
      </c>
      <c r="AU22">
        <v>0</v>
      </c>
      <c r="AW22">
        <v>0.4</v>
      </c>
    </row>
    <row r="23" spans="1:49" ht="18.75" customHeight="1">
      <c r="A23" s="591">
        <v>16</v>
      </c>
      <c r="B23" s="591" t="str">
        <f t="shared" si="0"/>
        <v>1</v>
      </c>
      <c r="D23" s="592" t="str">
        <f t="shared" si="1"/>
        <v/>
      </c>
      <c r="E23" t="s">
        <v>122</v>
      </c>
      <c r="G23" t="s">
        <v>328</v>
      </c>
      <c r="I23" t="s">
        <v>2008</v>
      </c>
      <c r="J23">
        <v>1500</v>
      </c>
      <c r="K23">
        <v>0</v>
      </c>
      <c r="L23">
        <v>500</v>
      </c>
      <c r="M23">
        <v>500</v>
      </c>
      <c r="N23">
        <v>500</v>
      </c>
      <c r="O23">
        <v>0</v>
      </c>
      <c r="P23">
        <v>0</v>
      </c>
      <c r="Q23">
        <v>0</v>
      </c>
      <c r="R23" t="s">
        <v>2009</v>
      </c>
      <c r="U23" t="s">
        <v>1993</v>
      </c>
      <c r="W23" t="s">
        <v>2010</v>
      </c>
      <c r="Y23" t="s">
        <v>1975</v>
      </c>
      <c r="AA23" t="s">
        <v>1983</v>
      </c>
      <c r="AB23" t="s">
        <v>1983</v>
      </c>
      <c r="AC23" t="s">
        <v>1983</v>
      </c>
      <c r="AD23" t="s">
        <v>2001</v>
      </c>
      <c r="AE23" t="s">
        <v>1991</v>
      </c>
      <c r="AG23" t="s">
        <v>1965</v>
      </c>
      <c r="AI23" t="s">
        <v>122</v>
      </c>
      <c r="AK23" t="s">
        <v>328</v>
      </c>
      <c r="AM23">
        <v>0</v>
      </c>
      <c r="AN23">
        <v>0</v>
      </c>
      <c r="AO23" t="s">
        <v>2028</v>
      </c>
      <c r="AQ23" t="s">
        <v>1985</v>
      </c>
      <c r="AS23">
        <v>1</v>
      </c>
      <c r="AU23">
        <v>0</v>
      </c>
      <c r="AW23">
        <v>1</v>
      </c>
    </row>
    <row r="24" spans="1:49" ht="18.75" customHeight="1">
      <c r="A24" s="591">
        <v>17</v>
      </c>
      <c r="B24" s="591" t="str">
        <f t="shared" si="0"/>
        <v>1</v>
      </c>
      <c r="D24" s="592" t="str">
        <f t="shared" si="1"/>
        <v/>
      </c>
      <c r="E24" t="s">
        <v>122</v>
      </c>
      <c r="G24" t="s">
        <v>346</v>
      </c>
      <c r="H24">
        <v>0</v>
      </c>
      <c r="I24" t="s">
        <v>1928</v>
      </c>
      <c r="J24">
        <v>215</v>
      </c>
      <c r="K24">
        <v>0</v>
      </c>
      <c r="L24">
        <v>50</v>
      </c>
      <c r="M24">
        <v>100</v>
      </c>
      <c r="N24">
        <v>65</v>
      </c>
      <c r="O24">
        <v>0</v>
      </c>
      <c r="P24">
        <v>0</v>
      </c>
      <c r="Q24">
        <v>0</v>
      </c>
      <c r="S24" t="s">
        <v>2011</v>
      </c>
      <c r="T24" t="s">
        <v>2011</v>
      </c>
      <c r="U24" t="s">
        <v>1039</v>
      </c>
      <c r="V24" t="s">
        <v>2012</v>
      </c>
      <c r="W24" t="s">
        <v>2004</v>
      </c>
      <c r="X24" t="s">
        <v>2005</v>
      </c>
      <c r="AA24" t="s">
        <v>2013</v>
      </c>
      <c r="AD24" t="s">
        <v>2001</v>
      </c>
      <c r="AG24" t="s">
        <v>1965</v>
      </c>
      <c r="AI24" t="s">
        <v>122</v>
      </c>
      <c r="AK24" t="s">
        <v>346</v>
      </c>
      <c r="AM24">
        <v>0</v>
      </c>
      <c r="AN24">
        <v>0</v>
      </c>
      <c r="AO24">
        <v>18</v>
      </c>
      <c r="AQ24" t="s">
        <v>1985</v>
      </c>
      <c r="AS24">
        <v>1</v>
      </c>
      <c r="AU24">
        <v>0</v>
      </c>
      <c r="AW24">
        <v>0.4</v>
      </c>
    </row>
    <row r="25" spans="1:49" ht="18.75" customHeight="1">
      <c r="A25" s="591">
        <v>18</v>
      </c>
      <c r="B25" s="591" t="str">
        <f t="shared" si="0"/>
        <v>1</v>
      </c>
      <c r="D25" s="592" t="str">
        <f t="shared" si="1"/>
        <v/>
      </c>
      <c r="E25" t="s">
        <v>122</v>
      </c>
      <c r="G25" t="s">
        <v>360</v>
      </c>
      <c r="I25" t="s">
        <v>1928</v>
      </c>
      <c r="J25">
        <v>150</v>
      </c>
      <c r="K25">
        <v>0</v>
      </c>
      <c r="L25">
        <v>50</v>
      </c>
      <c r="M25">
        <v>50</v>
      </c>
      <c r="N25">
        <v>50</v>
      </c>
      <c r="O25">
        <v>0</v>
      </c>
      <c r="P25">
        <v>0</v>
      </c>
      <c r="Q25">
        <v>0</v>
      </c>
      <c r="R25" t="s">
        <v>2014</v>
      </c>
      <c r="U25" t="s">
        <v>1993</v>
      </c>
      <c r="W25" t="s">
        <v>2015</v>
      </c>
      <c r="Y25" t="s">
        <v>1975</v>
      </c>
      <c r="AA25" t="s">
        <v>1983</v>
      </c>
      <c r="AB25" t="s">
        <v>1983</v>
      </c>
      <c r="AC25" t="s">
        <v>1983</v>
      </c>
      <c r="AD25" t="s">
        <v>2001</v>
      </c>
      <c r="AE25" t="s">
        <v>2016</v>
      </c>
      <c r="AG25" t="s">
        <v>1965</v>
      </c>
      <c r="AI25" t="s">
        <v>122</v>
      </c>
      <c r="AK25" t="s">
        <v>360</v>
      </c>
      <c r="AM25">
        <v>0</v>
      </c>
      <c r="AN25">
        <v>0</v>
      </c>
      <c r="AO25">
        <v>10</v>
      </c>
      <c r="AQ25" t="s">
        <v>1985</v>
      </c>
      <c r="AS25">
        <v>1</v>
      </c>
      <c r="AU25">
        <v>0</v>
      </c>
      <c r="AW25">
        <v>1</v>
      </c>
    </row>
    <row r="26" spans="1:49" ht="18.75" customHeight="1">
      <c r="A26" s="591">
        <v>19</v>
      </c>
      <c r="B26" s="591" t="str">
        <f t="shared" si="0"/>
        <v>1</v>
      </c>
      <c r="D26" s="592" t="str">
        <f t="shared" si="1"/>
        <v/>
      </c>
      <c r="E26" t="s">
        <v>122</v>
      </c>
      <c r="G26" t="s">
        <v>372</v>
      </c>
      <c r="I26" t="s">
        <v>1928</v>
      </c>
      <c r="J26">
        <v>110</v>
      </c>
      <c r="K26">
        <v>0</v>
      </c>
      <c r="L26">
        <v>30</v>
      </c>
      <c r="M26">
        <v>40</v>
      </c>
      <c r="N26">
        <v>40</v>
      </c>
      <c r="O26">
        <v>0</v>
      </c>
      <c r="P26">
        <v>0</v>
      </c>
      <c r="Q26">
        <v>0</v>
      </c>
      <c r="U26" t="s">
        <v>2017</v>
      </c>
      <c r="W26" t="s">
        <v>2004</v>
      </c>
      <c r="Y26" t="s">
        <v>1975</v>
      </c>
      <c r="AA26" t="s">
        <v>1983</v>
      </c>
      <c r="AB26" t="s">
        <v>1983</v>
      </c>
      <c r="AC26" t="s">
        <v>1983</v>
      </c>
      <c r="AD26" t="s">
        <v>2018</v>
      </c>
      <c r="AE26" t="s">
        <v>2019</v>
      </c>
      <c r="AG26" t="s">
        <v>2029</v>
      </c>
      <c r="AI26" t="s">
        <v>122</v>
      </c>
      <c r="AK26" t="s">
        <v>372</v>
      </c>
      <c r="AM26">
        <v>0</v>
      </c>
      <c r="AN26">
        <v>0</v>
      </c>
      <c r="AO26">
        <v>9</v>
      </c>
      <c r="AQ26" t="s">
        <v>1985</v>
      </c>
      <c r="AS26">
        <v>1</v>
      </c>
      <c r="AU26">
        <v>0</v>
      </c>
      <c r="AW26">
        <v>1</v>
      </c>
    </row>
    <row r="27" spans="1:49" ht="18.75" customHeight="1">
      <c r="A27" s="591">
        <v>20</v>
      </c>
      <c r="B27" s="591" t="str">
        <f t="shared" si="0"/>
        <v>1</v>
      </c>
      <c r="D27" s="592" t="str">
        <f t="shared" si="1"/>
        <v/>
      </c>
      <c r="E27" t="s">
        <v>122</v>
      </c>
      <c r="G27" t="s">
        <v>387</v>
      </c>
      <c r="I27" t="s">
        <v>1928</v>
      </c>
      <c r="J27">
        <v>100</v>
      </c>
      <c r="K27">
        <v>0</v>
      </c>
      <c r="L27">
        <v>20</v>
      </c>
      <c r="M27">
        <v>40</v>
      </c>
      <c r="N27">
        <v>40</v>
      </c>
      <c r="O27">
        <v>0</v>
      </c>
      <c r="P27">
        <v>0</v>
      </c>
      <c r="Q27">
        <v>0</v>
      </c>
      <c r="R27" t="s">
        <v>2020</v>
      </c>
      <c r="U27" t="s">
        <v>2021</v>
      </c>
      <c r="W27" t="s">
        <v>2004</v>
      </c>
      <c r="Y27" t="s">
        <v>1975</v>
      </c>
      <c r="AA27" t="s">
        <v>1983</v>
      </c>
      <c r="AB27" t="s">
        <v>1983</v>
      </c>
      <c r="AC27" t="s">
        <v>1983</v>
      </c>
      <c r="AD27" t="s">
        <v>2022</v>
      </c>
      <c r="AE27" t="s">
        <v>1985</v>
      </c>
      <c r="AK27" t="s">
        <v>387</v>
      </c>
      <c r="AM27">
        <v>0</v>
      </c>
      <c r="AN27">
        <v>0</v>
      </c>
      <c r="AO27">
        <v>55</v>
      </c>
      <c r="AQ27" t="s">
        <v>2030</v>
      </c>
      <c r="AS27">
        <v>1</v>
      </c>
      <c r="AU27">
        <v>0</v>
      </c>
      <c r="AW27">
        <v>1</v>
      </c>
    </row>
    <row r="28" spans="1:49" ht="18.75" customHeight="1">
      <c r="A28" s="591">
        <v>21</v>
      </c>
      <c r="B28" s="591" t="str">
        <f t="shared" si="0"/>
        <v>1</v>
      </c>
      <c r="D28" s="592" t="str">
        <f t="shared" si="1"/>
        <v/>
      </c>
      <c r="E28" t="s">
        <v>122</v>
      </c>
      <c r="G28" t="s">
        <v>407</v>
      </c>
      <c r="I28" t="s">
        <v>2008</v>
      </c>
      <c r="J28">
        <v>1000</v>
      </c>
      <c r="K28">
        <v>0</v>
      </c>
      <c r="L28">
        <v>500</v>
      </c>
      <c r="M28">
        <v>500</v>
      </c>
      <c r="N28">
        <v>0</v>
      </c>
      <c r="O28">
        <v>0</v>
      </c>
      <c r="P28">
        <v>0</v>
      </c>
      <c r="Q28">
        <v>0</v>
      </c>
      <c r="R28" t="s">
        <v>2023</v>
      </c>
      <c r="U28" t="s">
        <v>2024</v>
      </c>
      <c r="W28" t="s">
        <v>2025</v>
      </c>
      <c r="Y28" t="s">
        <v>1975</v>
      </c>
      <c r="AA28" t="s">
        <v>1983</v>
      </c>
      <c r="AB28" t="s">
        <v>1983</v>
      </c>
      <c r="AC28" t="s">
        <v>1983</v>
      </c>
      <c r="AD28" t="s">
        <v>2026</v>
      </c>
      <c r="AE28" t="s">
        <v>1985</v>
      </c>
      <c r="AK28" t="s">
        <v>407</v>
      </c>
      <c r="AM28">
        <v>0</v>
      </c>
      <c r="AN28">
        <v>0</v>
      </c>
      <c r="AO28">
        <v>21</v>
      </c>
      <c r="AQ28" t="s">
        <v>2031</v>
      </c>
      <c r="AS28">
        <v>1</v>
      </c>
      <c r="AU28">
        <v>0</v>
      </c>
      <c r="AW28">
        <v>1</v>
      </c>
    </row>
    <row r="29" spans="1:49" ht="18.75" customHeight="1">
      <c r="A29" s="591">
        <v>22</v>
      </c>
      <c r="B29" s="591" t="str">
        <f t="shared" si="0"/>
        <v>1</v>
      </c>
      <c r="D29" s="592" t="str">
        <f t="shared" si="1"/>
        <v>1.5 Digitální transformace podniků</v>
      </c>
      <c r="E29" t="s">
        <v>2032</v>
      </c>
      <c r="F29">
        <v>0</v>
      </c>
      <c r="G29" t="s">
        <v>2033</v>
      </c>
      <c r="H29">
        <v>0</v>
      </c>
      <c r="I29" t="s">
        <v>1986</v>
      </c>
      <c r="J29">
        <v>5</v>
      </c>
      <c r="K29">
        <v>0</v>
      </c>
      <c r="L29">
        <v>2</v>
      </c>
      <c r="M29">
        <v>1</v>
      </c>
      <c r="N29">
        <v>1</v>
      </c>
      <c r="O29">
        <v>1</v>
      </c>
      <c r="P29">
        <v>0</v>
      </c>
      <c r="Q29">
        <v>0</v>
      </c>
      <c r="R29" t="s">
        <v>2034</v>
      </c>
      <c r="S29" t="s">
        <v>2035</v>
      </c>
      <c r="U29" t="s">
        <v>2036</v>
      </c>
      <c r="W29" t="s">
        <v>1985</v>
      </c>
      <c r="AA29" t="s">
        <v>2037</v>
      </c>
      <c r="AG29" t="s">
        <v>1965</v>
      </c>
      <c r="AI29" t="s">
        <v>2032</v>
      </c>
      <c r="AK29" t="s">
        <v>2033</v>
      </c>
      <c r="AM29">
        <v>0</v>
      </c>
      <c r="AN29">
        <v>0</v>
      </c>
      <c r="AO29" t="s">
        <v>2488</v>
      </c>
      <c r="AQ29" t="s">
        <v>1998</v>
      </c>
      <c r="AR29" t="s">
        <v>2052</v>
      </c>
      <c r="AS29">
        <v>1</v>
      </c>
      <c r="AU29" t="s">
        <v>2489</v>
      </c>
      <c r="AW29" t="s">
        <v>2490</v>
      </c>
    </row>
    <row r="30" spans="1:49" ht="18.75" customHeight="1">
      <c r="A30" s="591">
        <v>23</v>
      </c>
      <c r="B30" s="591" t="str">
        <f t="shared" si="0"/>
        <v>1</v>
      </c>
      <c r="D30" s="592" t="str">
        <f t="shared" si="1"/>
        <v/>
      </c>
      <c r="E30" t="s">
        <v>2032</v>
      </c>
      <c r="F30">
        <v>0</v>
      </c>
      <c r="G30" t="s">
        <v>2038</v>
      </c>
      <c r="H30">
        <v>0</v>
      </c>
      <c r="I30" t="s">
        <v>1986</v>
      </c>
      <c r="J30">
        <v>200</v>
      </c>
      <c r="K30">
        <v>0</v>
      </c>
      <c r="L30">
        <v>0</v>
      </c>
      <c r="M30">
        <v>60</v>
      </c>
      <c r="N30">
        <v>70</v>
      </c>
      <c r="O30">
        <v>70</v>
      </c>
      <c r="P30">
        <v>0</v>
      </c>
      <c r="Q30">
        <v>0</v>
      </c>
      <c r="R30" t="s">
        <v>2034</v>
      </c>
      <c r="S30" t="s">
        <v>2039</v>
      </c>
      <c r="U30" t="s">
        <v>2040</v>
      </c>
      <c r="W30" t="s">
        <v>1985</v>
      </c>
      <c r="Y30" t="s">
        <v>1975</v>
      </c>
      <c r="AA30" t="s">
        <v>1998</v>
      </c>
      <c r="AB30" t="s">
        <v>2041</v>
      </c>
      <c r="AC30" t="s">
        <v>1983</v>
      </c>
      <c r="AD30" t="s">
        <v>2042</v>
      </c>
      <c r="AE30" t="s">
        <v>2043</v>
      </c>
      <c r="AG30" t="s">
        <v>1965</v>
      </c>
      <c r="AI30" t="s">
        <v>2032</v>
      </c>
      <c r="AK30" t="s">
        <v>2491</v>
      </c>
      <c r="AM30">
        <v>0</v>
      </c>
      <c r="AN30">
        <v>0</v>
      </c>
      <c r="AO30" t="s">
        <v>2488</v>
      </c>
      <c r="AQ30" t="s">
        <v>1998</v>
      </c>
      <c r="AR30" t="s">
        <v>2052</v>
      </c>
      <c r="AS30">
        <v>1</v>
      </c>
      <c r="AU30" t="s">
        <v>2489</v>
      </c>
      <c r="AW30" t="s">
        <v>2490</v>
      </c>
    </row>
    <row r="31" spans="1:49" ht="18.75" customHeight="1">
      <c r="A31" s="591">
        <v>24</v>
      </c>
      <c r="B31" s="591" t="str">
        <f t="shared" si="0"/>
        <v>1</v>
      </c>
      <c r="D31" s="592" t="str">
        <f t="shared" si="1"/>
        <v/>
      </c>
      <c r="E31" t="s">
        <v>2032</v>
      </c>
      <c r="F31">
        <v>0</v>
      </c>
      <c r="G31" t="s">
        <v>2044</v>
      </c>
      <c r="H31">
        <v>0</v>
      </c>
      <c r="I31" t="s">
        <v>2045</v>
      </c>
      <c r="J31">
        <v>150</v>
      </c>
      <c r="K31">
        <v>0</v>
      </c>
      <c r="L31">
        <v>0</v>
      </c>
      <c r="M31">
        <v>50</v>
      </c>
      <c r="N31">
        <v>50</v>
      </c>
      <c r="O31">
        <v>50</v>
      </c>
      <c r="P31">
        <v>0</v>
      </c>
      <c r="Q31">
        <v>0</v>
      </c>
      <c r="R31" t="s">
        <v>2034</v>
      </c>
      <c r="S31" t="s">
        <v>2039</v>
      </c>
      <c r="U31" t="s">
        <v>2040</v>
      </c>
      <c r="W31" t="s">
        <v>2046</v>
      </c>
      <c r="Y31" t="s">
        <v>1975</v>
      </c>
      <c r="AA31" t="s">
        <v>1983</v>
      </c>
      <c r="AB31" t="s">
        <v>2041</v>
      </c>
      <c r="AC31" t="s">
        <v>1983</v>
      </c>
      <c r="AD31" t="s">
        <v>2047</v>
      </c>
      <c r="AE31" t="s">
        <v>2048</v>
      </c>
      <c r="AG31" t="s">
        <v>1965</v>
      </c>
      <c r="AI31" t="s">
        <v>2032</v>
      </c>
      <c r="AK31" t="s">
        <v>2492</v>
      </c>
      <c r="AM31">
        <v>0</v>
      </c>
      <c r="AN31">
        <v>0</v>
      </c>
      <c r="AO31" t="s">
        <v>2493</v>
      </c>
      <c r="AQ31" t="s">
        <v>1998</v>
      </c>
      <c r="AR31" t="s">
        <v>2052</v>
      </c>
      <c r="AS31">
        <v>1</v>
      </c>
      <c r="AU31" t="s">
        <v>2489</v>
      </c>
      <c r="AW31" t="s">
        <v>2490</v>
      </c>
    </row>
    <row r="32" spans="1:49" ht="18.75" customHeight="1">
      <c r="A32" s="591">
        <v>25</v>
      </c>
      <c r="B32" s="591" t="str">
        <f t="shared" si="0"/>
        <v>1</v>
      </c>
      <c r="D32" s="592" t="str">
        <f t="shared" si="1"/>
        <v/>
      </c>
      <c r="E32" t="s">
        <v>2032</v>
      </c>
      <c r="F32">
        <v>0</v>
      </c>
      <c r="G32" t="s">
        <v>2049</v>
      </c>
      <c r="H32">
        <v>0</v>
      </c>
      <c r="I32" t="s">
        <v>2008</v>
      </c>
      <c r="J32">
        <v>5000</v>
      </c>
      <c r="K32">
        <v>0</v>
      </c>
      <c r="L32">
        <v>1000</v>
      </c>
      <c r="M32">
        <v>1000</v>
      </c>
      <c r="N32">
        <v>1000</v>
      </c>
      <c r="O32">
        <v>1000</v>
      </c>
      <c r="P32">
        <v>1000</v>
      </c>
      <c r="Q32">
        <v>0</v>
      </c>
      <c r="S32" t="s">
        <v>2050</v>
      </c>
      <c r="U32" t="s">
        <v>2036</v>
      </c>
      <c r="W32" t="s">
        <v>2046</v>
      </c>
      <c r="Y32" t="s">
        <v>1975</v>
      </c>
      <c r="AA32" t="s">
        <v>1998</v>
      </c>
      <c r="AB32" t="s">
        <v>2041</v>
      </c>
      <c r="AC32" t="s">
        <v>1983</v>
      </c>
      <c r="AD32" t="s">
        <v>2042</v>
      </c>
      <c r="AE32" t="s">
        <v>2051</v>
      </c>
      <c r="AG32" t="s">
        <v>1965</v>
      </c>
      <c r="AI32" t="s">
        <v>2032</v>
      </c>
      <c r="AK32" t="s">
        <v>2049</v>
      </c>
      <c r="AM32">
        <v>0</v>
      </c>
      <c r="AN32">
        <v>0</v>
      </c>
      <c r="AO32" t="s">
        <v>2488</v>
      </c>
      <c r="AQ32" t="s">
        <v>1998</v>
      </c>
      <c r="AR32" t="s">
        <v>2052</v>
      </c>
      <c r="AS32">
        <v>1</v>
      </c>
      <c r="AU32" t="s">
        <v>2489</v>
      </c>
      <c r="AW32" t="s">
        <v>2490</v>
      </c>
    </row>
    <row r="33" spans="1:49" ht="18.75" customHeight="1">
      <c r="A33" s="591">
        <v>26</v>
      </c>
      <c r="B33" s="591" t="str">
        <f t="shared" si="0"/>
        <v>1</v>
      </c>
      <c r="D33" s="592" t="str">
        <f t="shared" si="1"/>
        <v xml:space="preserve">1.6 Rozvoj kulturního a kreativního sektoru </v>
      </c>
      <c r="E33" t="s">
        <v>2053</v>
      </c>
      <c r="F33">
        <v>0</v>
      </c>
      <c r="G33" t="s">
        <v>472</v>
      </c>
      <c r="I33" t="s">
        <v>1928</v>
      </c>
      <c r="J33">
        <v>760</v>
      </c>
      <c r="K33">
        <v>0</v>
      </c>
      <c r="L33">
        <v>30</v>
      </c>
      <c r="M33">
        <v>365</v>
      </c>
      <c r="N33">
        <v>365</v>
      </c>
      <c r="O33">
        <v>0</v>
      </c>
      <c r="P33">
        <v>0</v>
      </c>
      <c r="Q33">
        <v>0</v>
      </c>
      <c r="R33">
        <v>0</v>
      </c>
      <c r="S33">
        <v>0</v>
      </c>
      <c r="T33">
        <v>0</v>
      </c>
      <c r="U33">
        <v>0</v>
      </c>
      <c r="V33">
        <v>0</v>
      </c>
      <c r="W33">
        <v>0</v>
      </c>
      <c r="X33">
        <v>0</v>
      </c>
      <c r="Y33" t="s">
        <v>2054</v>
      </c>
      <c r="AA33" t="s">
        <v>129</v>
      </c>
      <c r="AB33" t="s">
        <v>129</v>
      </c>
      <c r="AC33" t="s">
        <v>129</v>
      </c>
      <c r="AG33" t="s">
        <v>1965</v>
      </c>
      <c r="AI33" t="s">
        <v>2053</v>
      </c>
      <c r="AK33" t="s">
        <v>472</v>
      </c>
      <c r="AM33">
        <v>0</v>
      </c>
      <c r="AN33">
        <v>0</v>
      </c>
      <c r="AO33" t="s">
        <v>2062</v>
      </c>
      <c r="AP33">
        <v>143</v>
      </c>
      <c r="AQ33" t="s">
        <v>1040</v>
      </c>
      <c r="AS33">
        <v>1</v>
      </c>
      <c r="AT33" t="s">
        <v>2063</v>
      </c>
      <c r="AW33" t="s">
        <v>2064</v>
      </c>
    </row>
    <row r="34" spans="1:49" ht="18.75" customHeight="1">
      <c r="A34" s="591">
        <v>27</v>
      </c>
      <c r="B34" s="591" t="str">
        <f t="shared" si="0"/>
        <v>1</v>
      </c>
      <c r="D34" s="592" t="str">
        <f t="shared" si="1"/>
        <v/>
      </c>
      <c r="E34" t="s">
        <v>2053</v>
      </c>
      <c r="F34">
        <v>0</v>
      </c>
      <c r="G34" t="s">
        <v>2055</v>
      </c>
      <c r="H34">
        <v>0</v>
      </c>
      <c r="I34" t="s">
        <v>1973</v>
      </c>
      <c r="J34">
        <v>3400</v>
      </c>
      <c r="K34">
        <v>0</v>
      </c>
      <c r="L34">
        <v>50</v>
      </c>
      <c r="M34">
        <v>1640</v>
      </c>
      <c r="N34">
        <v>1630</v>
      </c>
      <c r="O34">
        <v>40</v>
      </c>
      <c r="P34">
        <v>40</v>
      </c>
      <c r="Q34">
        <v>0</v>
      </c>
      <c r="R34">
        <v>0</v>
      </c>
      <c r="S34">
        <v>0</v>
      </c>
      <c r="T34">
        <v>0</v>
      </c>
      <c r="U34">
        <v>0</v>
      </c>
      <c r="V34">
        <v>0</v>
      </c>
      <c r="W34">
        <v>0</v>
      </c>
      <c r="X34">
        <v>0</v>
      </c>
      <c r="Y34" t="s">
        <v>2056</v>
      </c>
      <c r="AA34" t="s">
        <v>129</v>
      </c>
      <c r="AB34" t="s">
        <v>129</v>
      </c>
      <c r="AC34" t="s">
        <v>129</v>
      </c>
      <c r="AE34" t="s">
        <v>56</v>
      </c>
      <c r="AG34" t="s">
        <v>1965</v>
      </c>
      <c r="AI34" t="s">
        <v>2053</v>
      </c>
      <c r="AK34" t="s">
        <v>2055</v>
      </c>
      <c r="AM34">
        <v>0</v>
      </c>
      <c r="AN34">
        <v>0</v>
      </c>
      <c r="AO34" t="s">
        <v>2065</v>
      </c>
      <c r="AP34">
        <v>129</v>
      </c>
      <c r="AQ34" t="s">
        <v>1040</v>
      </c>
      <c r="AS34">
        <v>0</v>
      </c>
    </row>
    <row r="35" spans="1:49" ht="18.75" customHeight="1">
      <c r="A35" s="591">
        <v>28</v>
      </c>
      <c r="B35" s="591" t="str">
        <f t="shared" si="0"/>
        <v>1</v>
      </c>
      <c r="D35" s="592" t="str">
        <f t="shared" si="1"/>
        <v/>
      </c>
      <c r="E35" t="s">
        <v>2053</v>
      </c>
      <c r="F35">
        <v>0</v>
      </c>
      <c r="G35" t="s">
        <v>494</v>
      </c>
      <c r="I35" t="s">
        <v>1973</v>
      </c>
      <c r="J35">
        <v>1010</v>
      </c>
      <c r="K35">
        <v>0</v>
      </c>
      <c r="L35">
        <v>5</v>
      </c>
      <c r="M35">
        <v>300</v>
      </c>
      <c r="N35">
        <v>235</v>
      </c>
      <c r="O35">
        <v>235</v>
      </c>
      <c r="P35">
        <v>235</v>
      </c>
      <c r="Q35">
        <v>0</v>
      </c>
      <c r="R35">
        <v>0</v>
      </c>
      <c r="S35">
        <v>0</v>
      </c>
      <c r="T35">
        <v>0</v>
      </c>
      <c r="U35">
        <v>0</v>
      </c>
      <c r="V35">
        <v>0</v>
      </c>
      <c r="W35">
        <v>0</v>
      </c>
      <c r="X35">
        <v>0</v>
      </c>
      <c r="Y35" t="s">
        <v>2056</v>
      </c>
      <c r="AA35" t="s">
        <v>129</v>
      </c>
      <c r="AB35" t="s">
        <v>129</v>
      </c>
      <c r="AC35" t="s">
        <v>129</v>
      </c>
      <c r="AD35" t="s">
        <v>56</v>
      </c>
      <c r="AE35" t="s">
        <v>56</v>
      </c>
      <c r="AG35" t="s">
        <v>1965</v>
      </c>
      <c r="AI35" t="s">
        <v>2053</v>
      </c>
      <c r="AK35" t="s">
        <v>494</v>
      </c>
      <c r="AM35">
        <v>0</v>
      </c>
      <c r="AN35">
        <v>0</v>
      </c>
      <c r="AO35" t="s">
        <v>2065</v>
      </c>
      <c r="AP35">
        <v>129</v>
      </c>
      <c r="AQ35" t="s">
        <v>1040</v>
      </c>
      <c r="AS35">
        <v>1</v>
      </c>
      <c r="AT35" t="s">
        <v>2063</v>
      </c>
      <c r="AW35" t="s">
        <v>2066</v>
      </c>
    </row>
    <row r="36" spans="1:49" ht="18.75" customHeight="1">
      <c r="A36" s="591">
        <v>29</v>
      </c>
      <c r="B36" s="591" t="str">
        <f t="shared" si="0"/>
        <v>1</v>
      </c>
      <c r="D36" s="592" t="str">
        <f t="shared" si="1"/>
        <v/>
      </c>
      <c r="E36" t="s">
        <v>2053</v>
      </c>
      <c r="F36" t="e">
        <v>#REF!</v>
      </c>
      <c r="G36" t="s">
        <v>501</v>
      </c>
      <c r="I36" t="s">
        <v>1986</v>
      </c>
      <c r="J36">
        <v>750</v>
      </c>
      <c r="K36">
        <v>0</v>
      </c>
      <c r="L36">
        <v>150</v>
      </c>
      <c r="M36">
        <v>150</v>
      </c>
      <c r="N36">
        <v>150</v>
      </c>
      <c r="O36">
        <v>150</v>
      </c>
      <c r="P36">
        <v>150</v>
      </c>
      <c r="Q36">
        <v>0</v>
      </c>
      <c r="R36">
        <v>0</v>
      </c>
      <c r="S36">
        <v>0</v>
      </c>
      <c r="T36">
        <v>0</v>
      </c>
      <c r="U36">
        <v>0</v>
      </c>
      <c r="V36">
        <v>0</v>
      </c>
      <c r="W36">
        <v>0</v>
      </c>
      <c r="X36">
        <v>0</v>
      </c>
      <c r="Y36" t="s">
        <v>2056</v>
      </c>
      <c r="AA36" t="s">
        <v>129</v>
      </c>
      <c r="AB36" t="s">
        <v>129</v>
      </c>
      <c r="AC36" t="s">
        <v>129</v>
      </c>
      <c r="AD36" t="s">
        <v>56</v>
      </c>
      <c r="AE36" t="s">
        <v>56</v>
      </c>
      <c r="AG36" t="s">
        <v>1965</v>
      </c>
      <c r="AI36" t="s">
        <v>2053</v>
      </c>
      <c r="AK36" t="s">
        <v>501</v>
      </c>
      <c r="AM36">
        <v>0</v>
      </c>
      <c r="AN36">
        <v>0</v>
      </c>
      <c r="AO36" t="s">
        <v>2065</v>
      </c>
      <c r="AP36">
        <v>129</v>
      </c>
      <c r="AQ36" t="s">
        <v>1040</v>
      </c>
      <c r="AS36">
        <v>0</v>
      </c>
    </row>
    <row r="37" spans="1:49" ht="18.75" customHeight="1">
      <c r="A37" s="591">
        <v>30</v>
      </c>
      <c r="B37" s="591" t="str">
        <f t="shared" si="0"/>
        <v>1</v>
      </c>
      <c r="D37" s="592" t="str">
        <f t="shared" si="1"/>
        <v/>
      </c>
      <c r="E37" t="s">
        <v>2053</v>
      </c>
      <c r="F37" t="e">
        <v>#REF!</v>
      </c>
      <c r="G37" t="s">
        <v>507</v>
      </c>
      <c r="I37" t="s">
        <v>1986</v>
      </c>
      <c r="J37">
        <v>600</v>
      </c>
      <c r="K37">
        <v>0</v>
      </c>
      <c r="L37">
        <v>60</v>
      </c>
      <c r="M37">
        <v>180</v>
      </c>
      <c r="N37">
        <v>180</v>
      </c>
      <c r="O37">
        <v>180</v>
      </c>
      <c r="P37">
        <v>0</v>
      </c>
      <c r="Q37">
        <v>0</v>
      </c>
      <c r="R37">
        <v>0</v>
      </c>
      <c r="S37">
        <v>0</v>
      </c>
      <c r="T37">
        <v>0</v>
      </c>
      <c r="U37">
        <v>0</v>
      </c>
      <c r="V37">
        <v>0</v>
      </c>
      <c r="W37">
        <v>0</v>
      </c>
      <c r="X37">
        <v>0</v>
      </c>
      <c r="Y37" t="s">
        <v>2056</v>
      </c>
      <c r="AA37" t="s">
        <v>129</v>
      </c>
      <c r="AB37" t="s">
        <v>129</v>
      </c>
      <c r="AC37" t="s">
        <v>129</v>
      </c>
      <c r="AG37" t="s">
        <v>1965</v>
      </c>
      <c r="AI37" t="s">
        <v>2053</v>
      </c>
      <c r="AK37" t="s">
        <v>2067</v>
      </c>
      <c r="AM37">
        <v>0</v>
      </c>
      <c r="AN37">
        <v>0</v>
      </c>
      <c r="AO37" t="s">
        <v>2068</v>
      </c>
      <c r="AP37" t="s">
        <v>2069</v>
      </c>
      <c r="AQ37" t="s">
        <v>1040</v>
      </c>
      <c r="AS37">
        <v>0.4</v>
      </c>
      <c r="AT37" t="s">
        <v>2070</v>
      </c>
      <c r="AW37" t="s">
        <v>2071</v>
      </c>
    </row>
    <row r="38" spans="1:49" ht="18.75" customHeight="1">
      <c r="A38" s="591">
        <v>31</v>
      </c>
      <c r="B38" s="591" t="str">
        <f t="shared" si="0"/>
        <v>1</v>
      </c>
      <c r="D38" s="592" t="str">
        <f t="shared" si="1"/>
        <v/>
      </c>
      <c r="E38" t="s">
        <v>2053</v>
      </c>
      <c r="F38">
        <v>0</v>
      </c>
      <c r="G38" t="s">
        <v>516</v>
      </c>
      <c r="I38" t="s">
        <v>1986</v>
      </c>
      <c r="J38">
        <v>830</v>
      </c>
      <c r="K38">
        <v>0</v>
      </c>
      <c r="L38">
        <v>30</v>
      </c>
      <c r="M38">
        <v>190</v>
      </c>
      <c r="N38">
        <v>205</v>
      </c>
      <c r="O38">
        <v>205</v>
      </c>
      <c r="P38">
        <v>200</v>
      </c>
      <c r="Q38">
        <v>0</v>
      </c>
      <c r="R38">
        <v>0</v>
      </c>
      <c r="S38">
        <v>0</v>
      </c>
      <c r="T38">
        <v>0</v>
      </c>
      <c r="U38">
        <v>0</v>
      </c>
      <c r="V38">
        <v>0</v>
      </c>
      <c r="W38">
        <v>0</v>
      </c>
      <c r="X38">
        <v>0</v>
      </c>
      <c r="Y38" t="s">
        <v>2057</v>
      </c>
      <c r="AA38" t="s">
        <v>129</v>
      </c>
      <c r="AB38" t="s">
        <v>129</v>
      </c>
      <c r="AC38" t="s">
        <v>129</v>
      </c>
      <c r="AD38" t="s">
        <v>2058</v>
      </c>
      <c r="AE38" t="s">
        <v>2058</v>
      </c>
      <c r="AI38" t="s">
        <v>2053</v>
      </c>
      <c r="AK38" t="s">
        <v>516</v>
      </c>
      <c r="AM38">
        <v>0</v>
      </c>
      <c r="AN38">
        <v>0</v>
      </c>
      <c r="AO38" t="s">
        <v>2072</v>
      </c>
      <c r="AP38" t="s">
        <v>2073</v>
      </c>
      <c r="AQ38" t="s">
        <v>1040</v>
      </c>
      <c r="AS38">
        <v>0.4</v>
      </c>
      <c r="AT38" t="s">
        <v>2074</v>
      </c>
      <c r="AW38" t="s">
        <v>2075</v>
      </c>
    </row>
    <row r="39" spans="1:49" ht="18.75" customHeight="1">
      <c r="A39" s="591">
        <v>32</v>
      </c>
      <c r="B39" s="591" t="str">
        <f t="shared" si="0"/>
        <v>1</v>
      </c>
      <c r="D39" s="592" t="str">
        <f t="shared" si="1"/>
        <v/>
      </c>
      <c r="E39" t="s">
        <v>2053</v>
      </c>
      <c r="G39" t="s">
        <v>2059</v>
      </c>
      <c r="I39" t="s">
        <v>1986</v>
      </c>
      <c r="J39">
        <v>800</v>
      </c>
      <c r="K39">
        <v>0</v>
      </c>
      <c r="L39">
        <v>800</v>
      </c>
      <c r="M39">
        <v>0</v>
      </c>
      <c r="N39">
        <v>0</v>
      </c>
      <c r="O39">
        <v>0</v>
      </c>
      <c r="P39">
        <v>0</v>
      </c>
      <c r="Q39">
        <v>0</v>
      </c>
      <c r="R39">
        <v>0</v>
      </c>
      <c r="AI39" t="s">
        <v>2053</v>
      </c>
      <c r="AK39" t="s">
        <v>523</v>
      </c>
      <c r="AM39">
        <v>0</v>
      </c>
      <c r="AN39">
        <v>0</v>
      </c>
      <c r="AO39" t="s">
        <v>2062</v>
      </c>
      <c r="AP39" t="s">
        <v>2076</v>
      </c>
      <c r="AQ39" t="s">
        <v>1040</v>
      </c>
      <c r="AS39">
        <v>0</v>
      </c>
    </row>
    <row r="40" spans="1:49" ht="18.75" customHeight="1">
      <c r="A40" s="591">
        <v>33</v>
      </c>
      <c r="B40" s="591" t="str">
        <f t="shared" si="0"/>
        <v>1</v>
      </c>
      <c r="D40" s="592" t="str">
        <f t="shared" si="1"/>
        <v/>
      </c>
      <c r="E40" t="s">
        <v>2053</v>
      </c>
      <c r="G40" t="s">
        <v>527</v>
      </c>
      <c r="I40" t="s">
        <v>1973</v>
      </c>
      <c r="J40">
        <v>0</v>
      </c>
      <c r="AI40" t="s">
        <v>2053</v>
      </c>
      <c r="AK40" t="s">
        <v>527</v>
      </c>
      <c r="AM40">
        <v>0</v>
      </c>
      <c r="AN40">
        <v>0</v>
      </c>
      <c r="AO40" t="s">
        <v>2062</v>
      </c>
      <c r="AP40">
        <v>143</v>
      </c>
      <c r="AQ40" t="s">
        <v>1040</v>
      </c>
      <c r="AS40">
        <v>0</v>
      </c>
    </row>
    <row r="41" spans="1:49" ht="18.75" customHeight="1">
      <c r="A41" s="591">
        <v>34</v>
      </c>
      <c r="B41" s="591" t="str">
        <f t="shared" si="0"/>
        <v>1</v>
      </c>
      <c r="D41" s="592" t="str">
        <f t="shared" si="1"/>
        <v/>
      </c>
      <c r="E41" t="s">
        <v>2053</v>
      </c>
      <c r="G41" t="s">
        <v>530</v>
      </c>
      <c r="I41" t="s">
        <v>1986</v>
      </c>
      <c r="J41">
        <v>0</v>
      </c>
      <c r="AI41" t="s">
        <v>2053</v>
      </c>
      <c r="AK41" t="s">
        <v>530</v>
      </c>
      <c r="AM41">
        <v>0</v>
      </c>
      <c r="AN41">
        <v>0</v>
      </c>
      <c r="AO41" t="s">
        <v>2062</v>
      </c>
      <c r="AP41">
        <v>143</v>
      </c>
      <c r="AQ41" t="s">
        <v>1040</v>
      </c>
      <c r="AS41">
        <v>0</v>
      </c>
    </row>
    <row r="42" spans="1:49" ht="18.75" customHeight="1">
      <c r="A42" s="591">
        <v>35</v>
      </c>
      <c r="B42" s="591" t="str">
        <f t="shared" si="0"/>
        <v>1</v>
      </c>
      <c r="D42" s="592" t="str">
        <f t="shared" si="1"/>
        <v>1.7 Zrychlení a digitalizace stavebního řízení</v>
      </c>
      <c r="E42" t="s">
        <v>533</v>
      </c>
      <c r="F42">
        <v>0</v>
      </c>
      <c r="G42" t="s">
        <v>534</v>
      </c>
      <c r="H42">
        <v>0</v>
      </c>
      <c r="I42" t="s">
        <v>1928</v>
      </c>
      <c r="J42">
        <v>1590</v>
      </c>
      <c r="K42">
        <v>0</v>
      </c>
      <c r="L42">
        <v>0</v>
      </c>
      <c r="M42">
        <v>1090</v>
      </c>
      <c r="N42">
        <v>500</v>
      </c>
      <c r="O42">
        <v>0</v>
      </c>
      <c r="P42">
        <v>0</v>
      </c>
      <c r="Q42">
        <v>0</v>
      </c>
      <c r="R42" t="s">
        <v>2077</v>
      </c>
      <c r="S42" t="s">
        <v>2078</v>
      </c>
      <c r="U42" t="s">
        <v>2079</v>
      </c>
      <c r="W42" t="s">
        <v>2080</v>
      </c>
      <c r="Y42" t="s">
        <v>2081</v>
      </c>
      <c r="AA42" t="s">
        <v>2082</v>
      </c>
      <c r="AB42" t="s">
        <v>2082</v>
      </c>
      <c r="AC42" t="s">
        <v>2082</v>
      </c>
      <c r="AD42" t="s">
        <v>2083</v>
      </c>
      <c r="AE42">
        <v>0.3</v>
      </c>
      <c r="AG42" t="s">
        <v>1965</v>
      </c>
      <c r="AI42" t="s">
        <v>533</v>
      </c>
      <c r="AK42" t="s">
        <v>2092</v>
      </c>
      <c r="AM42">
        <v>0</v>
      </c>
      <c r="AN42">
        <v>0</v>
      </c>
      <c r="AO42" t="s">
        <v>2093</v>
      </c>
      <c r="AQ42" t="s">
        <v>1039</v>
      </c>
      <c r="AS42">
        <v>0.08</v>
      </c>
      <c r="AU42" t="s">
        <v>2094</v>
      </c>
      <c r="AW42" t="s">
        <v>2095</v>
      </c>
    </row>
    <row r="43" spans="1:49" ht="18.75" customHeight="1">
      <c r="A43" s="591">
        <v>36</v>
      </c>
      <c r="B43" s="591" t="str">
        <f t="shared" si="0"/>
        <v>1</v>
      </c>
      <c r="D43" s="592" t="str">
        <f t="shared" si="1"/>
        <v/>
      </c>
      <c r="E43" t="s">
        <v>533</v>
      </c>
      <c r="F43">
        <v>0</v>
      </c>
      <c r="G43" t="s">
        <v>2084</v>
      </c>
      <c r="H43">
        <v>0</v>
      </c>
      <c r="I43" t="s">
        <v>2085</v>
      </c>
      <c r="J43">
        <v>400</v>
      </c>
      <c r="K43">
        <v>0</v>
      </c>
      <c r="L43">
        <v>0</v>
      </c>
      <c r="M43">
        <v>217.5</v>
      </c>
      <c r="N43">
        <v>182.5</v>
      </c>
      <c r="O43">
        <v>0</v>
      </c>
      <c r="P43">
        <v>0</v>
      </c>
      <c r="Q43">
        <v>0</v>
      </c>
      <c r="R43" t="s">
        <v>28</v>
      </c>
      <c r="S43" t="s">
        <v>28</v>
      </c>
      <c r="U43" t="s">
        <v>28</v>
      </c>
      <c r="W43" t="s">
        <v>28</v>
      </c>
      <c r="Y43" t="s">
        <v>2086</v>
      </c>
      <c r="AA43" t="s">
        <v>2082</v>
      </c>
      <c r="AB43" t="s">
        <v>2082</v>
      </c>
      <c r="AC43" t="s">
        <v>2082</v>
      </c>
      <c r="AD43" t="s">
        <v>2087</v>
      </c>
      <c r="AE43" t="s">
        <v>28</v>
      </c>
      <c r="AG43" t="s">
        <v>1965</v>
      </c>
      <c r="AI43" t="s">
        <v>533</v>
      </c>
      <c r="AK43" t="s">
        <v>577</v>
      </c>
      <c r="AM43">
        <v>0</v>
      </c>
      <c r="AN43">
        <v>0</v>
      </c>
      <c r="AO43">
        <v>11</v>
      </c>
      <c r="AQ43" t="s">
        <v>1039</v>
      </c>
      <c r="AS43">
        <v>1</v>
      </c>
      <c r="AU43" t="s">
        <v>2094</v>
      </c>
      <c r="AW43" t="s">
        <v>2096</v>
      </c>
    </row>
    <row r="44" spans="1:49" ht="18.75" customHeight="1">
      <c r="A44" s="591">
        <v>37</v>
      </c>
      <c r="B44" s="591" t="str">
        <f t="shared" si="0"/>
        <v>1</v>
      </c>
      <c r="D44" s="592" t="str">
        <f t="shared" si="1"/>
        <v/>
      </c>
      <c r="E44" t="s">
        <v>533</v>
      </c>
      <c r="G44" t="s">
        <v>617</v>
      </c>
      <c r="I44" t="s">
        <v>2085</v>
      </c>
      <c r="J44">
        <v>30</v>
      </c>
      <c r="K44">
        <v>0</v>
      </c>
      <c r="L44">
        <v>0</v>
      </c>
      <c r="M44">
        <v>2</v>
      </c>
      <c r="N44">
        <v>28</v>
      </c>
      <c r="O44">
        <v>0</v>
      </c>
      <c r="P44">
        <v>0</v>
      </c>
      <c r="Q44">
        <v>0</v>
      </c>
      <c r="R44" t="s">
        <v>28</v>
      </c>
      <c r="S44" t="s">
        <v>28</v>
      </c>
      <c r="U44" t="s">
        <v>28</v>
      </c>
      <c r="W44" t="s">
        <v>28</v>
      </c>
      <c r="Y44" t="s">
        <v>2088</v>
      </c>
      <c r="AA44" t="s">
        <v>2082</v>
      </c>
      <c r="AB44" t="s">
        <v>2082</v>
      </c>
      <c r="AC44" t="s">
        <v>2082</v>
      </c>
      <c r="AD44" t="s">
        <v>2089</v>
      </c>
      <c r="AE44" t="s">
        <v>28</v>
      </c>
      <c r="AG44" t="s">
        <v>1965</v>
      </c>
      <c r="AI44" t="s">
        <v>533</v>
      </c>
      <c r="AK44" t="s">
        <v>617</v>
      </c>
      <c r="AM44">
        <v>0</v>
      </c>
      <c r="AN44">
        <v>0</v>
      </c>
      <c r="AO44">
        <v>11</v>
      </c>
      <c r="AQ44" t="s">
        <v>1039</v>
      </c>
      <c r="AS44">
        <v>1</v>
      </c>
      <c r="AU44" t="s">
        <v>2094</v>
      </c>
      <c r="AW44" t="s">
        <v>2097</v>
      </c>
    </row>
    <row r="45" spans="1:49" ht="18.75" customHeight="1">
      <c r="A45" s="591">
        <v>38</v>
      </c>
      <c r="B45" s="591" t="str">
        <f t="shared" si="0"/>
        <v>1</v>
      </c>
      <c r="D45" s="592" t="str">
        <f t="shared" si="1"/>
        <v/>
      </c>
      <c r="E45" t="s">
        <v>533</v>
      </c>
      <c r="F45">
        <v>0</v>
      </c>
      <c r="G45" t="s">
        <v>637</v>
      </c>
      <c r="H45">
        <v>0</v>
      </c>
      <c r="I45" t="s">
        <v>2090</v>
      </c>
      <c r="J45">
        <v>200</v>
      </c>
      <c r="K45">
        <v>0</v>
      </c>
      <c r="L45">
        <v>0</v>
      </c>
      <c r="M45">
        <v>75</v>
      </c>
      <c r="N45">
        <v>47</v>
      </c>
      <c r="O45">
        <v>40</v>
      </c>
      <c r="P45">
        <v>38</v>
      </c>
      <c r="Q45">
        <v>0</v>
      </c>
      <c r="R45" t="s">
        <v>28</v>
      </c>
      <c r="S45" t="s">
        <v>28</v>
      </c>
      <c r="U45" t="s">
        <v>28</v>
      </c>
      <c r="W45" t="s">
        <v>28</v>
      </c>
      <c r="Y45" t="s">
        <v>2081</v>
      </c>
      <c r="AA45" t="s">
        <v>2082</v>
      </c>
      <c r="AB45" t="s">
        <v>2082</v>
      </c>
      <c r="AC45" t="s">
        <v>2082</v>
      </c>
      <c r="AD45" t="s">
        <v>2091</v>
      </c>
      <c r="AE45" t="s">
        <v>28</v>
      </c>
      <c r="AG45" t="s">
        <v>1965</v>
      </c>
      <c r="AI45" t="s">
        <v>533</v>
      </c>
      <c r="AK45" t="s">
        <v>637</v>
      </c>
      <c r="AM45">
        <v>0</v>
      </c>
      <c r="AN45">
        <v>0</v>
      </c>
      <c r="AO45">
        <v>11</v>
      </c>
      <c r="AQ45" t="s">
        <v>1039</v>
      </c>
      <c r="AS45">
        <v>1</v>
      </c>
      <c r="AU45" t="s">
        <v>2094</v>
      </c>
      <c r="AW45" t="s">
        <v>2098</v>
      </c>
    </row>
    <row r="46" spans="1:49" ht="18.75" customHeight="1">
      <c r="A46" s="591">
        <v>39</v>
      </c>
      <c r="B46" s="591" t="str">
        <f t="shared" si="0"/>
        <v>1</v>
      </c>
      <c r="D46" s="592" t="str">
        <f t="shared" si="1"/>
        <v/>
      </c>
      <c r="E46" t="s">
        <v>533</v>
      </c>
      <c r="F46">
        <v>0</v>
      </c>
      <c r="G46" t="s">
        <v>660</v>
      </c>
      <c r="H46">
        <v>0</v>
      </c>
      <c r="I46" t="s">
        <v>1928</v>
      </c>
      <c r="J46">
        <v>795</v>
      </c>
      <c r="K46">
        <v>0</v>
      </c>
      <c r="L46">
        <v>150</v>
      </c>
      <c r="M46">
        <v>300</v>
      </c>
      <c r="N46">
        <v>345</v>
      </c>
      <c r="O46">
        <v>0</v>
      </c>
      <c r="P46">
        <v>0</v>
      </c>
      <c r="Q46">
        <v>0</v>
      </c>
      <c r="AA46" t="s">
        <v>2082</v>
      </c>
      <c r="AB46" t="s">
        <v>2082</v>
      </c>
      <c r="AC46" t="s">
        <v>2082</v>
      </c>
      <c r="AD46" t="s">
        <v>2087</v>
      </c>
      <c r="AE46" t="s">
        <v>28</v>
      </c>
      <c r="AG46" t="s">
        <v>1965</v>
      </c>
      <c r="AI46" t="s">
        <v>533</v>
      </c>
      <c r="AK46" t="s">
        <v>660</v>
      </c>
      <c r="AM46">
        <v>0</v>
      </c>
      <c r="AN46">
        <v>0</v>
      </c>
      <c r="AO46">
        <v>51</v>
      </c>
      <c r="AQ46" t="s">
        <v>1039</v>
      </c>
      <c r="AS46">
        <v>1</v>
      </c>
      <c r="AU46" t="s">
        <v>2094</v>
      </c>
    </row>
    <row r="47" spans="1:49" ht="18.75" customHeight="1">
      <c r="A47" s="591">
        <v>40</v>
      </c>
      <c r="B47" s="591" t="str">
        <f t="shared" si="0"/>
        <v>2</v>
      </c>
      <c r="D47" s="592" t="str">
        <f t="shared" si="1"/>
        <v>2.2 Snižování spotřeby energie</v>
      </c>
      <c r="E47" t="s">
        <v>672</v>
      </c>
      <c r="F47">
        <v>0</v>
      </c>
      <c r="G47" t="s">
        <v>673</v>
      </c>
      <c r="H47">
        <v>0</v>
      </c>
      <c r="I47" t="s">
        <v>2099</v>
      </c>
      <c r="J47">
        <v>3500</v>
      </c>
      <c r="K47">
        <v>0</v>
      </c>
      <c r="L47">
        <v>100</v>
      </c>
      <c r="M47">
        <v>900</v>
      </c>
      <c r="N47">
        <v>900</v>
      </c>
      <c r="O47">
        <v>900</v>
      </c>
      <c r="P47">
        <v>700</v>
      </c>
      <c r="Q47">
        <v>0</v>
      </c>
      <c r="R47" t="s">
        <v>2107</v>
      </c>
      <c r="S47" t="s">
        <v>2108</v>
      </c>
      <c r="T47" t="s">
        <v>2108</v>
      </c>
      <c r="U47" t="s">
        <v>2109</v>
      </c>
      <c r="V47" t="s">
        <v>2110</v>
      </c>
      <c r="W47" t="s">
        <v>28</v>
      </c>
      <c r="Y47" t="s">
        <v>2100</v>
      </c>
      <c r="AA47" t="s">
        <v>2094</v>
      </c>
      <c r="AD47" t="s">
        <v>2101</v>
      </c>
      <c r="AG47" t="s">
        <v>2114</v>
      </c>
      <c r="AI47" t="s">
        <v>672</v>
      </c>
      <c r="AK47" t="s">
        <v>673</v>
      </c>
      <c r="AM47">
        <v>1</v>
      </c>
      <c r="AN47">
        <v>0.4</v>
      </c>
      <c r="AO47" t="s">
        <v>2115</v>
      </c>
      <c r="AQ47" t="s">
        <v>1039</v>
      </c>
      <c r="AS47">
        <v>0</v>
      </c>
      <c r="AU47" t="s">
        <v>2116</v>
      </c>
      <c r="AW47" t="s">
        <v>2117</v>
      </c>
    </row>
    <row r="48" spans="1:49" ht="18.75" customHeight="1">
      <c r="A48" s="591">
        <v>41</v>
      </c>
      <c r="B48" s="591" t="str">
        <f t="shared" si="0"/>
        <v>2</v>
      </c>
      <c r="D48" s="592" t="str">
        <f t="shared" si="1"/>
        <v/>
      </c>
      <c r="E48" t="s">
        <v>672</v>
      </c>
      <c r="F48">
        <v>0</v>
      </c>
      <c r="G48" t="s">
        <v>701</v>
      </c>
      <c r="H48">
        <v>0</v>
      </c>
      <c r="I48" t="s">
        <v>2102</v>
      </c>
      <c r="J48">
        <v>2500</v>
      </c>
      <c r="K48">
        <v>0</v>
      </c>
      <c r="L48">
        <v>200</v>
      </c>
      <c r="M48">
        <v>600</v>
      </c>
      <c r="N48">
        <v>600</v>
      </c>
      <c r="O48">
        <v>600</v>
      </c>
      <c r="P48">
        <v>500</v>
      </c>
      <c r="Q48">
        <v>0</v>
      </c>
      <c r="R48" t="s">
        <v>2111</v>
      </c>
      <c r="S48" t="s">
        <v>2103</v>
      </c>
      <c r="T48" t="s">
        <v>2103</v>
      </c>
      <c r="U48" t="s">
        <v>2112</v>
      </c>
      <c r="V48" t="s">
        <v>2113</v>
      </c>
      <c r="W48" t="s">
        <v>28</v>
      </c>
      <c r="Y48" t="s">
        <v>2104</v>
      </c>
      <c r="AA48" t="s">
        <v>2105</v>
      </c>
      <c r="AD48" t="s">
        <v>2106</v>
      </c>
      <c r="AG48" t="s">
        <v>2114</v>
      </c>
      <c r="AI48" t="s">
        <v>672</v>
      </c>
      <c r="AK48" t="s">
        <v>701</v>
      </c>
      <c r="AM48">
        <v>1</v>
      </c>
      <c r="AN48">
        <v>0.4</v>
      </c>
      <c r="AO48" t="s">
        <v>2118</v>
      </c>
      <c r="AQ48" t="s">
        <v>1039</v>
      </c>
      <c r="AS48">
        <v>0</v>
      </c>
      <c r="AU48" t="s">
        <v>2116</v>
      </c>
      <c r="AW48" t="s">
        <v>2117</v>
      </c>
    </row>
    <row r="49" spans="1:50" ht="18.75" customHeight="1">
      <c r="A49" s="591">
        <v>42</v>
      </c>
      <c r="B49" s="591" t="str">
        <f t="shared" si="0"/>
        <v>2</v>
      </c>
      <c r="D49" s="592" t="str">
        <f t="shared" si="1"/>
        <v>2.3 Transformace průmyslu a přechod na čistší zdroje energie</v>
      </c>
      <c r="E49" t="s">
        <v>722</v>
      </c>
      <c r="F49" t="s">
        <v>2129</v>
      </c>
      <c r="G49" t="s">
        <v>1891</v>
      </c>
      <c r="H49" t="s">
        <v>723</v>
      </c>
      <c r="I49" t="s">
        <v>2099</v>
      </c>
      <c r="J49">
        <v>5000</v>
      </c>
      <c r="K49">
        <v>0</v>
      </c>
      <c r="L49">
        <v>0</v>
      </c>
      <c r="M49">
        <v>925.9</v>
      </c>
      <c r="N49">
        <v>1111.0999999999999</v>
      </c>
      <c r="O49">
        <v>1111.0999999999999</v>
      </c>
      <c r="P49">
        <v>1111.0999999999999</v>
      </c>
      <c r="Q49">
        <v>740.7</v>
      </c>
      <c r="S49" t="s">
        <v>2119</v>
      </c>
      <c r="U49" t="s">
        <v>2120</v>
      </c>
      <c r="W49" t="s">
        <v>2121</v>
      </c>
      <c r="AA49" t="s">
        <v>56</v>
      </c>
      <c r="AB49" t="s">
        <v>56</v>
      </c>
      <c r="AC49" t="s">
        <v>56</v>
      </c>
      <c r="AD49" t="s">
        <v>2122</v>
      </c>
      <c r="AE49" t="s">
        <v>2123</v>
      </c>
      <c r="AG49" t="s">
        <v>2114</v>
      </c>
      <c r="AH49" t="s">
        <v>2130</v>
      </c>
      <c r="AI49" t="s">
        <v>722</v>
      </c>
      <c r="AJ49" t="s">
        <v>2129</v>
      </c>
      <c r="AK49" t="s">
        <v>1891</v>
      </c>
      <c r="AL49" t="s">
        <v>723</v>
      </c>
      <c r="AM49">
        <v>1</v>
      </c>
      <c r="AN49">
        <v>0.4</v>
      </c>
      <c r="AO49" t="s">
        <v>2131</v>
      </c>
      <c r="AP49" t="s">
        <v>2132</v>
      </c>
      <c r="AQ49" t="s">
        <v>2133</v>
      </c>
      <c r="AR49" t="s">
        <v>2134</v>
      </c>
      <c r="AS49">
        <v>0</v>
      </c>
      <c r="AU49" t="s">
        <v>2135</v>
      </c>
      <c r="AV49" t="s">
        <v>2136</v>
      </c>
      <c r="AW49" t="s">
        <v>2137</v>
      </c>
      <c r="AX49" t="s">
        <v>2082</v>
      </c>
    </row>
    <row r="50" spans="1:50" ht="18.75" customHeight="1">
      <c r="A50" s="591">
        <v>43</v>
      </c>
      <c r="B50" s="591" t="str">
        <f t="shared" si="0"/>
        <v>2</v>
      </c>
      <c r="D50" s="592" t="str">
        <f t="shared" si="1"/>
        <v/>
      </c>
      <c r="E50" t="s">
        <v>722</v>
      </c>
      <c r="F50" t="s">
        <v>2129</v>
      </c>
      <c r="G50" t="s">
        <v>1892</v>
      </c>
      <c r="H50" t="s">
        <v>741</v>
      </c>
      <c r="I50" t="s">
        <v>2099</v>
      </c>
      <c r="J50">
        <v>1660</v>
      </c>
      <c r="K50">
        <v>0</v>
      </c>
      <c r="L50">
        <v>0</v>
      </c>
      <c r="M50">
        <v>144.30000000000001</v>
      </c>
      <c r="N50">
        <v>288.7</v>
      </c>
      <c r="O50">
        <v>433</v>
      </c>
      <c r="P50">
        <v>433</v>
      </c>
      <c r="Q50">
        <v>360.9</v>
      </c>
      <c r="S50" t="s">
        <v>2124</v>
      </c>
      <c r="U50" t="s">
        <v>2125</v>
      </c>
      <c r="W50" t="s">
        <v>2126</v>
      </c>
      <c r="AA50" t="s">
        <v>56</v>
      </c>
      <c r="AB50" t="s">
        <v>56</v>
      </c>
      <c r="AC50" t="s">
        <v>56</v>
      </c>
      <c r="AD50" t="s">
        <v>2127</v>
      </c>
      <c r="AE50" t="s">
        <v>2128</v>
      </c>
      <c r="AG50" t="s">
        <v>2114</v>
      </c>
      <c r="AH50" t="s">
        <v>2130</v>
      </c>
      <c r="AI50" t="s">
        <v>722</v>
      </c>
      <c r="AJ50" t="s">
        <v>2129</v>
      </c>
      <c r="AK50" t="s">
        <v>1892</v>
      </c>
      <c r="AL50" t="s">
        <v>741</v>
      </c>
      <c r="AM50">
        <v>1</v>
      </c>
      <c r="AN50">
        <v>0.4</v>
      </c>
      <c r="AO50" t="s">
        <v>2138</v>
      </c>
      <c r="AP50" t="s">
        <v>2139</v>
      </c>
      <c r="AQ50" t="s">
        <v>2140</v>
      </c>
      <c r="AR50" t="s">
        <v>2134</v>
      </c>
      <c r="AS50">
        <v>0</v>
      </c>
      <c r="AU50" t="s">
        <v>2141</v>
      </c>
      <c r="AV50" t="s">
        <v>2142</v>
      </c>
      <c r="AW50" t="s">
        <v>2137</v>
      </c>
      <c r="AX50" t="s">
        <v>2082</v>
      </c>
    </row>
    <row r="51" spans="1:50" ht="18.75" customHeight="1">
      <c r="A51" s="591">
        <v>44</v>
      </c>
      <c r="B51" s="591" t="str">
        <f t="shared" si="0"/>
        <v>2</v>
      </c>
      <c r="D51" s="592" t="str">
        <f t="shared" si="1"/>
        <v>2.4 Rozvoj čisté mobility</v>
      </c>
      <c r="E51" t="s">
        <v>755</v>
      </c>
      <c r="F51">
        <v>0</v>
      </c>
      <c r="G51" t="s">
        <v>2143</v>
      </c>
      <c r="H51">
        <v>0</v>
      </c>
      <c r="I51" t="s">
        <v>2144</v>
      </c>
      <c r="J51">
        <v>2180</v>
      </c>
      <c r="K51">
        <v>0</v>
      </c>
      <c r="L51">
        <v>0</v>
      </c>
      <c r="M51">
        <v>328</v>
      </c>
      <c r="N51">
        <v>536</v>
      </c>
      <c r="O51">
        <v>650</v>
      </c>
      <c r="P51">
        <v>666</v>
      </c>
      <c r="Q51">
        <v>0</v>
      </c>
      <c r="R51">
        <v>0</v>
      </c>
      <c r="S51">
        <v>0</v>
      </c>
      <c r="T51">
        <v>0</v>
      </c>
      <c r="U51">
        <v>0</v>
      </c>
      <c r="V51">
        <v>0</v>
      </c>
      <c r="W51">
        <v>0</v>
      </c>
      <c r="X51">
        <v>0</v>
      </c>
      <c r="Y51" t="s">
        <v>2145</v>
      </c>
      <c r="Z51" t="s">
        <v>2145</v>
      </c>
      <c r="AA51" t="s">
        <v>2165</v>
      </c>
      <c r="AB51" t="s">
        <v>2165</v>
      </c>
      <c r="AC51" t="s">
        <v>2165</v>
      </c>
      <c r="AD51" t="s">
        <v>2146</v>
      </c>
      <c r="AE51" t="s">
        <v>2147</v>
      </c>
      <c r="AG51" t="s">
        <v>2114</v>
      </c>
      <c r="AI51" t="s">
        <v>755</v>
      </c>
      <c r="AK51" t="s">
        <v>2143</v>
      </c>
      <c r="AM51">
        <v>1</v>
      </c>
      <c r="AN51">
        <v>0.4</v>
      </c>
      <c r="AO51">
        <v>77</v>
      </c>
      <c r="AQ51" t="s">
        <v>2166</v>
      </c>
      <c r="AS51">
        <v>0</v>
      </c>
      <c r="AU51" t="s">
        <v>2167</v>
      </c>
    </row>
    <row r="52" spans="1:50" ht="18.75" customHeight="1">
      <c r="A52" s="591">
        <v>45</v>
      </c>
      <c r="B52" s="591" t="str">
        <f t="shared" si="0"/>
        <v>2</v>
      </c>
      <c r="D52" s="592" t="str">
        <f t="shared" si="1"/>
        <v/>
      </c>
      <c r="E52" t="s">
        <v>755</v>
      </c>
      <c r="F52">
        <v>0</v>
      </c>
      <c r="G52" t="s">
        <v>2148</v>
      </c>
      <c r="H52">
        <v>0</v>
      </c>
      <c r="I52" t="s">
        <v>2090</v>
      </c>
      <c r="J52">
        <v>1200</v>
      </c>
      <c r="K52">
        <v>0</v>
      </c>
      <c r="L52">
        <v>0</v>
      </c>
      <c r="M52">
        <v>160</v>
      </c>
      <c r="N52">
        <v>284</v>
      </c>
      <c r="O52">
        <v>444</v>
      </c>
      <c r="P52">
        <v>312</v>
      </c>
      <c r="Q52">
        <v>0</v>
      </c>
      <c r="R52">
        <v>0</v>
      </c>
      <c r="S52">
        <v>0</v>
      </c>
      <c r="T52">
        <v>0</v>
      </c>
      <c r="U52">
        <v>0</v>
      </c>
      <c r="V52">
        <v>0</v>
      </c>
      <c r="W52">
        <v>0</v>
      </c>
      <c r="X52">
        <v>0</v>
      </c>
      <c r="Y52" t="s">
        <v>2145</v>
      </c>
      <c r="Z52" t="s">
        <v>2145</v>
      </c>
      <c r="AA52" t="s">
        <v>2165</v>
      </c>
      <c r="AB52" t="s">
        <v>2165</v>
      </c>
      <c r="AC52" t="s">
        <v>2165</v>
      </c>
      <c r="AD52" t="s">
        <v>2149</v>
      </c>
      <c r="AE52" t="s">
        <v>2150</v>
      </c>
      <c r="AG52" t="s">
        <v>2114</v>
      </c>
      <c r="AI52" t="s">
        <v>755</v>
      </c>
      <c r="AK52" t="s">
        <v>2148</v>
      </c>
      <c r="AM52">
        <v>1</v>
      </c>
      <c r="AN52">
        <v>0.4</v>
      </c>
      <c r="AO52">
        <v>77</v>
      </c>
      <c r="AQ52" t="s">
        <v>2166</v>
      </c>
      <c r="AS52">
        <v>0</v>
      </c>
      <c r="AU52" t="s">
        <v>2168</v>
      </c>
    </row>
    <row r="53" spans="1:50" ht="18.75" customHeight="1">
      <c r="A53" s="591">
        <v>46</v>
      </c>
      <c r="B53" s="591" t="str">
        <f t="shared" si="0"/>
        <v>2</v>
      </c>
      <c r="D53" s="592" t="str">
        <f t="shared" si="1"/>
        <v/>
      </c>
      <c r="E53" t="s">
        <v>755</v>
      </c>
      <c r="F53">
        <v>0</v>
      </c>
      <c r="G53" t="s">
        <v>2151</v>
      </c>
      <c r="H53">
        <v>0</v>
      </c>
      <c r="I53" t="s">
        <v>1976</v>
      </c>
      <c r="J53">
        <v>300</v>
      </c>
      <c r="K53">
        <v>0</v>
      </c>
      <c r="L53">
        <v>0</v>
      </c>
      <c r="M53">
        <v>20</v>
      </c>
      <c r="N53">
        <v>60</v>
      </c>
      <c r="O53">
        <v>110</v>
      </c>
      <c r="P53">
        <v>110</v>
      </c>
      <c r="Q53">
        <v>0</v>
      </c>
      <c r="R53">
        <v>0</v>
      </c>
      <c r="S53">
        <v>0</v>
      </c>
      <c r="T53">
        <v>0</v>
      </c>
      <c r="U53">
        <v>0</v>
      </c>
      <c r="V53">
        <v>0</v>
      </c>
      <c r="W53">
        <v>0</v>
      </c>
      <c r="X53">
        <v>0</v>
      </c>
      <c r="Y53" t="s">
        <v>2145</v>
      </c>
      <c r="Z53" t="s">
        <v>2145</v>
      </c>
      <c r="AA53" t="s">
        <v>2165</v>
      </c>
      <c r="AB53" t="s">
        <v>2165</v>
      </c>
      <c r="AC53" t="s">
        <v>2165</v>
      </c>
      <c r="AD53" t="s">
        <v>2152</v>
      </c>
      <c r="AE53" t="s">
        <v>2153</v>
      </c>
      <c r="AG53" t="s">
        <v>2114</v>
      </c>
      <c r="AI53" t="s">
        <v>755</v>
      </c>
      <c r="AK53" t="s">
        <v>2151</v>
      </c>
      <c r="AM53">
        <v>1</v>
      </c>
      <c r="AN53">
        <v>0.4</v>
      </c>
      <c r="AO53">
        <v>77</v>
      </c>
      <c r="AQ53" t="s">
        <v>2166</v>
      </c>
      <c r="AS53">
        <v>0</v>
      </c>
      <c r="AU53" t="s">
        <v>2169</v>
      </c>
    </row>
    <row r="54" spans="1:50" ht="18.75" customHeight="1">
      <c r="A54" s="591">
        <v>47</v>
      </c>
      <c r="B54" s="591" t="str">
        <f t="shared" si="0"/>
        <v>2</v>
      </c>
      <c r="D54" s="592" t="str">
        <f t="shared" si="1"/>
        <v/>
      </c>
      <c r="E54" t="s">
        <v>755</v>
      </c>
      <c r="F54">
        <v>0</v>
      </c>
      <c r="G54" t="s">
        <v>2154</v>
      </c>
      <c r="H54">
        <v>0</v>
      </c>
      <c r="I54" t="s">
        <v>2144</v>
      </c>
      <c r="J54">
        <v>144</v>
      </c>
      <c r="K54">
        <v>0</v>
      </c>
      <c r="L54">
        <v>0</v>
      </c>
      <c r="M54">
        <v>14</v>
      </c>
      <c r="N54">
        <v>40</v>
      </c>
      <c r="O54">
        <v>40</v>
      </c>
      <c r="P54">
        <v>40</v>
      </c>
      <c r="Q54">
        <v>10</v>
      </c>
      <c r="R54">
        <v>0</v>
      </c>
      <c r="S54">
        <v>0</v>
      </c>
      <c r="T54">
        <v>0</v>
      </c>
      <c r="U54">
        <v>0</v>
      </c>
      <c r="V54">
        <v>0</v>
      </c>
      <c r="W54">
        <v>0</v>
      </c>
      <c r="X54">
        <v>0</v>
      </c>
      <c r="Y54" t="s">
        <v>2145</v>
      </c>
      <c r="Z54" t="s">
        <v>2145</v>
      </c>
      <c r="AA54" t="s">
        <v>2165</v>
      </c>
      <c r="AB54" t="s">
        <v>2165</v>
      </c>
      <c r="AC54" t="s">
        <v>2165</v>
      </c>
      <c r="AD54" t="s">
        <v>2155</v>
      </c>
      <c r="AG54" t="s">
        <v>2114</v>
      </c>
      <c r="AI54" t="s">
        <v>755</v>
      </c>
      <c r="AK54" t="s">
        <v>2154</v>
      </c>
      <c r="AM54">
        <v>1</v>
      </c>
      <c r="AN54">
        <v>0.4</v>
      </c>
      <c r="AO54">
        <v>77</v>
      </c>
      <c r="AQ54" t="s">
        <v>2166</v>
      </c>
      <c r="AS54">
        <v>0</v>
      </c>
      <c r="AU54" t="s">
        <v>2170</v>
      </c>
    </row>
    <row r="55" spans="1:50" ht="18.75" customHeight="1">
      <c r="A55" s="591">
        <v>48</v>
      </c>
      <c r="B55" s="591" t="str">
        <f t="shared" si="0"/>
        <v>2</v>
      </c>
      <c r="D55" s="592" t="str">
        <f t="shared" si="1"/>
        <v/>
      </c>
      <c r="E55" t="s">
        <v>755</v>
      </c>
      <c r="F55">
        <v>0</v>
      </c>
      <c r="G55" t="s">
        <v>2156</v>
      </c>
      <c r="H55">
        <v>0</v>
      </c>
      <c r="I55" t="s">
        <v>2144</v>
      </c>
      <c r="J55">
        <v>200</v>
      </c>
      <c r="K55">
        <v>0</v>
      </c>
      <c r="L55">
        <v>0</v>
      </c>
      <c r="M55">
        <v>20</v>
      </c>
      <c r="N55">
        <v>40</v>
      </c>
      <c r="O55">
        <v>50</v>
      </c>
      <c r="P55">
        <v>60</v>
      </c>
      <c r="Q55">
        <v>30</v>
      </c>
      <c r="R55">
        <v>0</v>
      </c>
      <c r="S55">
        <v>0</v>
      </c>
      <c r="T55">
        <v>0</v>
      </c>
      <c r="U55">
        <v>0</v>
      </c>
      <c r="V55">
        <v>0</v>
      </c>
      <c r="W55">
        <v>0</v>
      </c>
      <c r="X55">
        <v>0</v>
      </c>
      <c r="Y55" t="s">
        <v>2145</v>
      </c>
      <c r="Z55" t="s">
        <v>2145</v>
      </c>
      <c r="AA55" t="s">
        <v>2165</v>
      </c>
      <c r="AB55" t="s">
        <v>2165</v>
      </c>
      <c r="AC55" t="s">
        <v>2165</v>
      </c>
      <c r="AD55" t="s">
        <v>2157</v>
      </c>
      <c r="AG55" t="s">
        <v>2114</v>
      </c>
      <c r="AI55" t="s">
        <v>755</v>
      </c>
      <c r="AK55" t="s">
        <v>2171</v>
      </c>
      <c r="AM55">
        <v>1</v>
      </c>
      <c r="AN55">
        <v>0.4</v>
      </c>
      <c r="AO55">
        <v>77</v>
      </c>
      <c r="AQ55" t="s">
        <v>2166</v>
      </c>
      <c r="AS55">
        <v>0</v>
      </c>
      <c r="AU55" t="s">
        <v>2172</v>
      </c>
    </row>
    <row r="56" spans="1:50" ht="18.75" customHeight="1">
      <c r="A56" s="591">
        <v>49</v>
      </c>
      <c r="B56" s="591" t="str">
        <f t="shared" si="0"/>
        <v>2</v>
      </c>
      <c r="D56" s="592" t="str">
        <f t="shared" si="1"/>
        <v/>
      </c>
      <c r="E56" t="s">
        <v>755</v>
      </c>
      <c r="F56">
        <v>0</v>
      </c>
      <c r="G56" t="s">
        <v>2158</v>
      </c>
      <c r="H56">
        <v>0</v>
      </c>
      <c r="I56" t="s">
        <v>1986</v>
      </c>
      <c r="J56">
        <v>610</v>
      </c>
      <c r="K56">
        <v>0</v>
      </c>
      <c r="L56">
        <v>136</v>
      </c>
      <c r="M56">
        <v>164</v>
      </c>
      <c r="N56">
        <v>173</v>
      </c>
      <c r="O56">
        <v>137</v>
      </c>
      <c r="P56">
        <v>0</v>
      </c>
      <c r="Q56">
        <v>0</v>
      </c>
      <c r="R56">
        <v>0</v>
      </c>
      <c r="S56">
        <v>0</v>
      </c>
      <c r="T56">
        <v>0</v>
      </c>
      <c r="U56">
        <v>0</v>
      </c>
      <c r="V56">
        <v>0</v>
      </c>
      <c r="W56">
        <v>0</v>
      </c>
      <c r="X56">
        <v>0</v>
      </c>
      <c r="Y56" t="s">
        <v>2145</v>
      </c>
      <c r="Z56" t="s">
        <v>2145</v>
      </c>
      <c r="AA56" t="s">
        <v>2165</v>
      </c>
      <c r="AB56" t="s">
        <v>2165</v>
      </c>
      <c r="AC56" t="s">
        <v>2165</v>
      </c>
      <c r="AD56" t="s">
        <v>2159</v>
      </c>
      <c r="AE56" t="s">
        <v>2160</v>
      </c>
      <c r="AG56" t="s">
        <v>2114</v>
      </c>
      <c r="AI56" t="s">
        <v>755</v>
      </c>
      <c r="AK56" t="s">
        <v>2158</v>
      </c>
      <c r="AM56">
        <v>1</v>
      </c>
      <c r="AN56">
        <v>0.4</v>
      </c>
      <c r="AO56">
        <v>73</v>
      </c>
      <c r="AQ56" t="s">
        <v>2166</v>
      </c>
      <c r="AS56">
        <v>0</v>
      </c>
      <c r="AU56" t="s">
        <v>2173</v>
      </c>
    </row>
    <row r="57" spans="1:50" ht="18.75" customHeight="1">
      <c r="A57" s="591">
        <v>50</v>
      </c>
      <c r="B57" s="591" t="str">
        <f t="shared" si="0"/>
        <v>2</v>
      </c>
      <c r="D57" s="592" t="str">
        <f t="shared" si="1"/>
        <v/>
      </c>
      <c r="E57" t="s">
        <v>755</v>
      </c>
      <c r="F57">
        <v>0</v>
      </c>
      <c r="G57" t="s">
        <v>2161</v>
      </c>
      <c r="H57">
        <v>0</v>
      </c>
      <c r="I57" t="s">
        <v>1976</v>
      </c>
      <c r="J57">
        <v>600</v>
      </c>
      <c r="K57">
        <v>0</v>
      </c>
      <c r="L57">
        <v>0</v>
      </c>
      <c r="M57">
        <v>100</v>
      </c>
      <c r="N57">
        <v>157</v>
      </c>
      <c r="O57">
        <v>178</v>
      </c>
      <c r="P57">
        <v>155</v>
      </c>
      <c r="Q57">
        <v>0</v>
      </c>
      <c r="R57">
        <v>0</v>
      </c>
      <c r="S57">
        <v>0</v>
      </c>
      <c r="T57">
        <v>0</v>
      </c>
      <c r="U57">
        <v>0</v>
      </c>
      <c r="V57">
        <v>0</v>
      </c>
      <c r="W57">
        <v>0</v>
      </c>
      <c r="X57">
        <v>0</v>
      </c>
      <c r="Y57" t="s">
        <v>2145</v>
      </c>
      <c r="Z57" t="s">
        <v>2145</v>
      </c>
      <c r="AA57" t="s">
        <v>2165</v>
      </c>
      <c r="AB57" t="s">
        <v>2165</v>
      </c>
      <c r="AC57" t="s">
        <v>2165</v>
      </c>
      <c r="AD57" t="s">
        <v>2162</v>
      </c>
      <c r="AG57" t="s">
        <v>2114</v>
      </c>
      <c r="AI57" t="s">
        <v>755</v>
      </c>
      <c r="AK57" t="s">
        <v>2161</v>
      </c>
      <c r="AM57">
        <v>1</v>
      </c>
      <c r="AN57">
        <v>0.4</v>
      </c>
      <c r="AO57">
        <v>73</v>
      </c>
      <c r="AQ57" t="s">
        <v>2166</v>
      </c>
      <c r="AS57">
        <v>0</v>
      </c>
      <c r="AU57" t="s">
        <v>2174</v>
      </c>
    </row>
    <row r="58" spans="1:50" ht="18.75" customHeight="1">
      <c r="A58" s="591">
        <v>51</v>
      </c>
      <c r="B58" s="591" t="str">
        <f t="shared" si="0"/>
        <v>2</v>
      </c>
      <c r="D58" s="592" t="str">
        <f t="shared" si="1"/>
        <v/>
      </c>
      <c r="E58" t="s">
        <v>755</v>
      </c>
      <c r="F58">
        <v>0</v>
      </c>
      <c r="G58" t="s">
        <v>2163</v>
      </c>
      <c r="H58">
        <v>0</v>
      </c>
      <c r="I58" t="s">
        <v>2090</v>
      </c>
      <c r="J58">
        <v>1700</v>
      </c>
      <c r="K58">
        <v>0</v>
      </c>
      <c r="L58">
        <v>0</v>
      </c>
      <c r="M58">
        <v>390</v>
      </c>
      <c r="N58">
        <v>550</v>
      </c>
      <c r="O58">
        <v>460</v>
      </c>
      <c r="P58">
        <v>300</v>
      </c>
      <c r="Q58">
        <v>0</v>
      </c>
      <c r="R58">
        <v>0</v>
      </c>
      <c r="S58">
        <v>0</v>
      </c>
      <c r="T58">
        <v>0</v>
      </c>
      <c r="U58">
        <v>0</v>
      </c>
      <c r="V58">
        <v>0</v>
      </c>
      <c r="W58">
        <v>0</v>
      </c>
      <c r="X58">
        <v>0</v>
      </c>
      <c r="Y58" t="s">
        <v>2145</v>
      </c>
      <c r="Z58" t="s">
        <v>2145</v>
      </c>
      <c r="AA58" t="s">
        <v>2165</v>
      </c>
      <c r="AB58" t="s">
        <v>2165</v>
      </c>
      <c r="AC58" t="s">
        <v>2165</v>
      </c>
      <c r="AD58" t="s">
        <v>2164</v>
      </c>
      <c r="AG58" t="s">
        <v>2114</v>
      </c>
      <c r="AI58" t="s">
        <v>755</v>
      </c>
      <c r="AK58" t="s">
        <v>2163</v>
      </c>
      <c r="AM58">
        <v>1</v>
      </c>
      <c r="AN58">
        <v>0.4</v>
      </c>
      <c r="AO58">
        <v>73</v>
      </c>
      <c r="AQ58" t="s">
        <v>2166</v>
      </c>
      <c r="AS58">
        <v>0</v>
      </c>
      <c r="AU58" t="s">
        <v>2175</v>
      </c>
    </row>
    <row r="59" spans="1:50" ht="18.75" customHeight="1">
      <c r="A59" s="591">
        <v>52</v>
      </c>
      <c r="B59" s="591" t="str">
        <f t="shared" si="0"/>
        <v>2</v>
      </c>
      <c r="D59" s="592" t="str">
        <f t="shared" si="1"/>
        <v>2.5 Renovace budov a ochrana ovzduší</v>
      </c>
      <c r="E59" t="s">
        <v>867</v>
      </c>
      <c r="F59">
        <v>0</v>
      </c>
      <c r="G59" t="s">
        <v>2176</v>
      </c>
      <c r="H59">
        <v>0</v>
      </c>
      <c r="I59" t="s">
        <v>1928</v>
      </c>
      <c r="J59">
        <v>10000</v>
      </c>
      <c r="K59">
        <v>0</v>
      </c>
      <c r="L59">
        <v>1700</v>
      </c>
      <c r="M59">
        <v>2000</v>
      </c>
      <c r="N59">
        <v>1800</v>
      </c>
      <c r="O59">
        <v>1800</v>
      </c>
      <c r="P59">
        <v>1700</v>
      </c>
      <c r="Q59">
        <v>1000</v>
      </c>
      <c r="R59" t="s">
        <v>1934</v>
      </c>
      <c r="S59" t="s">
        <v>1934</v>
      </c>
      <c r="T59" t="s">
        <v>1934</v>
      </c>
      <c r="U59" t="s">
        <v>2177</v>
      </c>
      <c r="V59" t="s">
        <v>2178</v>
      </c>
      <c r="W59" t="s">
        <v>1934</v>
      </c>
      <c r="Y59" t="s">
        <v>2179</v>
      </c>
      <c r="AA59" t="s">
        <v>2180</v>
      </c>
      <c r="AB59" t="s">
        <v>2180</v>
      </c>
      <c r="AC59" t="s">
        <v>2180</v>
      </c>
      <c r="AD59" t="s">
        <v>2181</v>
      </c>
      <c r="AE59" t="s">
        <v>1967</v>
      </c>
      <c r="AG59" t="s">
        <v>2114</v>
      </c>
      <c r="AI59" t="s">
        <v>867</v>
      </c>
      <c r="AK59" t="s">
        <v>2187</v>
      </c>
      <c r="AM59">
        <v>1</v>
      </c>
      <c r="AN59">
        <v>40</v>
      </c>
      <c r="AO59" t="s">
        <v>2188</v>
      </c>
      <c r="AP59" t="s">
        <v>2188</v>
      </c>
      <c r="AQ59" t="s">
        <v>2189</v>
      </c>
      <c r="AR59" t="s">
        <v>2190</v>
      </c>
      <c r="AS59">
        <v>0</v>
      </c>
      <c r="AU59" t="s">
        <v>2191</v>
      </c>
      <c r="AW59" t="s">
        <v>28</v>
      </c>
    </row>
    <row r="60" spans="1:50" ht="18.75" customHeight="1">
      <c r="A60" s="591">
        <v>53</v>
      </c>
      <c r="B60" s="591" t="str">
        <f t="shared" si="0"/>
        <v>2</v>
      </c>
      <c r="D60" s="592" t="str">
        <f t="shared" si="1"/>
        <v/>
      </c>
      <c r="E60" t="s">
        <v>867</v>
      </c>
      <c r="F60">
        <v>0</v>
      </c>
      <c r="G60" t="s">
        <v>2182</v>
      </c>
      <c r="H60">
        <v>0</v>
      </c>
      <c r="I60" t="s">
        <v>1928</v>
      </c>
      <c r="J60">
        <v>9000</v>
      </c>
      <c r="K60">
        <v>0</v>
      </c>
      <c r="L60">
        <v>500</v>
      </c>
      <c r="M60">
        <v>2100</v>
      </c>
      <c r="N60">
        <v>2000</v>
      </c>
      <c r="O60">
        <v>1900</v>
      </c>
      <c r="P60">
        <v>1500</v>
      </c>
      <c r="Q60">
        <v>1000</v>
      </c>
      <c r="R60" t="s">
        <v>2183</v>
      </c>
      <c r="S60" t="s">
        <v>2184</v>
      </c>
      <c r="U60">
        <v>0</v>
      </c>
      <c r="W60">
        <v>0</v>
      </c>
      <c r="Y60" t="s">
        <v>2179</v>
      </c>
      <c r="AA60" t="s">
        <v>2185</v>
      </c>
      <c r="AB60" t="s">
        <v>2185</v>
      </c>
      <c r="AC60" t="s">
        <v>2185</v>
      </c>
      <c r="AD60" t="s">
        <v>2186</v>
      </c>
      <c r="AE60" t="s">
        <v>1967</v>
      </c>
      <c r="AG60" t="s">
        <v>2114</v>
      </c>
      <c r="AI60" t="s">
        <v>867</v>
      </c>
      <c r="AK60" t="s">
        <v>2192</v>
      </c>
      <c r="AM60">
        <v>0.4</v>
      </c>
      <c r="AN60">
        <v>100</v>
      </c>
      <c r="AO60">
        <v>48</v>
      </c>
      <c r="AP60">
        <v>48</v>
      </c>
      <c r="AQ60" t="s">
        <v>2189</v>
      </c>
      <c r="AR60" t="s">
        <v>2193</v>
      </c>
      <c r="AS60">
        <v>0</v>
      </c>
      <c r="AU60" t="s">
        <v>2194</v>
      </c>
      <c r="AW60" t="s">
        <v>28</v>
      </c>
    </row>
    <row r="61" spans="1:50" ht="18.75" customHeight="1">
      <c r="A61" s="591">
        <v>54</v>
      </c>
      <c r="B61" s="591" t="str">
        <f t="shared" si="0"/>
        <v>2</v>
      </c>
      <c r="D61" s="592" t="str">
        <f t="shared" si="1"/>
        <v>2.6 Ochrana přírody a adaptace na klimatickou změnu</v>
      </c>
      <c r="E61" t="s">
        <v>962</v>
      </c>
      <c r="F61" t="s">
        <v>2195</v>
      </c>
      <c r="G61" t="s">
        <v>963</v>
      </c>
      <c r="H61" t="s">
        <v>964</v>
      </c>
      <c r="I61" t="s">
        <v>1928</v>
      </c>
      <c r="J61">
        <v>2530</v>
      </c>
      <c r="K61">
        <v>0</v>
      </c>
      <c r="L61">
        <v>1159.3599999999999</v>
      </c>
      <c r="M61">
        <v>965.76</v>
      </c>
      <c r="N61">
        <v>404.88</v>
      </c>
      <c r="O61">
        <v>0</v>
      </c>
      <c r="P61">
        <v>0</v>
      </c>
      <c r="Q61">
        <v>0</v>
      </c>
      <c r="R61" t="s">
        <v>1934</v>
      </c>
      <c r="S61" t="s">
        <v>1967</v>
      </c>
      <c r="T61" t="s">
        <v>1934</v>
      </c>
      <c r="U61" t="s">
        <v>1967</v>
      </c>
      <c r="V61" t="s">
        <v>1934</v>
      </c>
      <c r="W61" t="s">
        <v>2197</v>
      </c>
      <c r="X61" t="s">
        <v>2198</v>
      </c>
      <c r="Y61" t="s">
        <v>2199</v>
      </c>
      <c r="Z61" t="s">
        <v>2199</v>
      </c>
      <c r="AA61" t="s">
        <v>1934</v>
      </c>
      <c r="AB61" t="s">
        <v>1040</v>
      </c>
      <c r="AC61" t="s">
        <v>1934</v>
      </c>
      <c r="AD61" t="s">
        <v>2200</v>
      </c>
      <c r="AE61" t="s">
        <v>1967</v>
      </c>
      <c r="AG61" t="s">
        <v>2114</v>
      </c>
      <c r="AH61" t="s">
        <v>2233</v>
      </c>
      <c r="AI61" t="s">
        <v>962</v>
      </c>
      <c r="AJ61" t="s">
        <v>2195</v>
      </c>
      <c r="AK61" t="s">
        <v>963</v>
      </c>
      <c r="AL61" t="s">
        <v>964</v>
      </c>
      <c r="AM61">
        <v>1</v>
      </c>
      <c r="AN61">
        <v>1</v>
      </c>
      <c r="AO61" t="s">
        <v>2234</v>
      </c>
      <c r="AP61" t="s">
        <v>2234</v>
      </c>
      <c r="AQ61" t="s">
        <v>1039</v>
      </c>
      <c r="AR61" t="s">
        <v>1040</v>
      </c>
      <c r="AS61">
        <v>0</v>
      </c>
      <c r="AU61" t="s">
        <v>2235</v>
      </c>
      <c r="AV61" t="s">
        <v>1040</v>
      </c>
      <c r="AW61" t="s">
        <v>1934</v>
      </c>
      <c r="AX61" t="s">
        <v>1934</v>
      </c>
    </row>
    <row r="62" spans="1:50" ht="18.75" customHeight="1">
      <c r="A62" s="591">
        <v>55</v>
      </c>
      <c r="B62" s="591" t="str">
        <f t="shared" si="0"/>
        <v>2</v>
      </c>
      <c r="D62" s="592" t="str">
        <f t="shared" si="1"/>
        <v/>
      </c>
      <c r="E62" t="s">
        <v>962</v>
      </c>
      <c r="F62" t="s">
        <v>2195</v>
      </c>
      <c r="G62" t="s">
        <v>2201</v>
      </c>
      <c r="H62" t="s">
        <v>2202</v>
      </c>
      <c r="I62" t="s">
        <v>1928</v>
      </c>
      <c r="J62">
        <v>1850</v>
      </c>
      <c r="K62">
        <v>0</v>
      </c>
      <c r="L62">
        <v>600</v>
      </c>
      <c r="M62">
        <v>650</v>
      </c>
      <c r="N62">
        <v>600</v>
      </c>
      <c r="O62">
        <v>0</v>
      </c>
      <c r="P62">
        <v>0</v>
      </c>
      <c r="Q62">
        <v>0</v>
      </c>
      <c r="R62" t="s">
        <v>1934</v>
      </c>
      <c r="S62" t="s">
        <v>1967</v>
      </c>
      <c r="T62" t="s">
        <v>1934</v>
      </c>
      <c r="U62" t="s">
        <v>1039</v>
      </c>
      <c r="V62" t="s">
        <v>1040</v>
      </c>
      <c r="W62" t="s">
        <v>2204</v>
      </c>
      <c r="X62" t="s">
        <v>2205</v>
      </c>
      <c r="Y62" t="s">
        <v>2199</v>
      </c>
      <c r="Z62" t="s">
        <v>2199</v>
      </c>
      <c r="AA62" t="s">
        <v>1934</v>
      </c>
      <c r="AB62" t="s">
        <v>1934</v>
      </c>
      <c r="AC62" t="s">
        <v>1934</v>
      </c>
      <c r="AD62" t="s">
        <v>2206</v>
      </c>
      <c r="AE62" t="s">
        <v>1934</v>
      </c>
      <c r="AG62" t="s">
        <v>2114</v>
      </c>
      <c r="AH62" t="s">
        <v>2233</v>
      </c>
      <c r="AI62" t="s">
        <v>962</v>
      </c>
      <c r="AJ62" t="s">
        <v>2195</v>
      </c>
      <c r="AK62" t="s">
        <v>986</v>
      </c>
      <c r="AL62" t="s">
        <v>2202</v>
      </c>
      <c r="AM62" t="s">
        <v>2236</v>
      </c>
      <c r="AN62" t="s">
        <v>2236</v>
      </c>
      <c r="AO62" t="s">
        <v>2237</v>
      </c>
      <c r="AP62" t="s">
        <v>2238</v>
      </c>
      <c r="AQ62" t="s">
        <v>1039</v>
      </c>
      <c r="AR62" t="s">
        <v>1040</v>
      </c>
      <c r="AS62">
        <v>0</v>
      </c>
      <c r="AU62" t="s">
        <v>2239</v>
      </c>
      <c r="AV62" t="s">
        <v>1040</v>
      </c>
      <c r="AW62" t="s">
        <v>1934</v>
      </c>
      <c r="AX62" t="s">
        <v>1934</v>
      </c>
    </row>
    <row r="63" spans="1:50" ht="18.75" customHeight="1">
      <c r="A63" s="591">
        <v>56</v>
      </c>
      <c r="B63" s="591" t="str">
        <f t="shared" si="0"/>
        <v>2</v>
      </c>
      <c r="D63" s="592" t="str">
        <f t="shared" si="1"/>
        <v/>
      </c>
      <c r="E63" t="s">
        <v>962</v>
      </c>
      <c r="F63" t="s">
        <v>2195</v>
      </c>
      <c r="G63" t="s">
        <v>1007</v>
      </c>
      <c r="H63" t="s">
        <v>2207</v>
      </c>
      <c r="I63" t="s">
        <v>1986</v>
      </c>
      <c r="J63">
        <v>780</v>
      </c>
      <c r="K63">
        <v>0</v>
      </c>
      <c r="L63">
        <v>150</v>
      </c>
      <c r="M63">
        <v>250</v>
      </c>
      <c r="N63">
        <v>250</v>
      </c>
      <c r="O63">
        <v>130</v>
      </c>
      <c r="P63">
        <v>0</v>
      </c>
      <c r="Q63">
        <v>0</v>
      </c>
      <c r="R63" t="s">
        <v>1934</v>
      </c>
      <c r="S63" t="s">
        <v>1967</v>
      </c>
      <c r="T63" t="s">
        <v>1934</v>
      </c>
      <c r="U63" t="s">
        <v>1039</v>
      </c>
      <c r="V63" t="s">
        <v>1040</v>
      </c>
      <c r="W63" t="s">
        <v>2204</v>
      </c>
      <c r="X63" t="s">
        <v>2205</v>
      </c>
      <c r="Y63" t="s">
        <v>2199</v>
      </c>
      <c r="Z63" t="s">
        <v>2199</v>
      </c>
      <c r="AA63" t="s">
        <v>2209</v>
      </c>
      <c r="AB63" t="s">
        <v>2210</v>
      </c>
      <c r="AC63" t="s">
        <v>2211</v>
      </c>
      <c r="AD63" t="s">
        <v>2212</v>
      </c>
      <c r="AE63" t="s">
        <v>1040</v>
      </c>
      <c r="AG63" t="s">
        <v>2114</v>
      </c>
      <c r="AH63" t="s">
        <v>2233</v>
      </c>
      <c r="AI63" t="s">
        <v>962</v>
      </c>
      <c r="AJ63" t="s">
        <v>2195</v>
      </c>
      <c r="AK63" t="s">
        <v>1007</v>
      </c>
      <c r="AL63" t="s">
        <v>2207</v>
      </c>
      <c r="AM63">
        <v>1</v>
      </c>
      <c r="AN63">
        <v>1</v>
      </c>
      <c r="AO63" t="s">
        <v>2240</v>
      </c>
      <c r="AP63" t="s">
        <v>2240</v>
      </c>
      <c r="AQ63" t="s">
        <v>1039</v>
      </c>
      <c r="AR63" t="s">
        <v>1040</v>
      </c>
      <c r="AS63">
        <v>0</v>
      </c>
      <c r="AU63" t="s">
        <v>2241</v>
      </c>
      <c r="AV63" t="s">
        <v>1040</v>
      </c>
      <c r="AW63" t="s">
        <v>1934</v>
      </c>
      <c r="AX63" t="s">
        <v>1934</v>
      </c>
    </row>
    <row r="64" spans="1:50" ht="18.75" customHeight="1">
      <c r="A64" s="591">
        <v>57</v>
      </c>
      <c r="B64" s="591" t="str">
        <f t="shared" si="0"/>
        <v>2</v>
      </c>
      <c r="D64" s="592" t="str">
        <f t="shared" si="1"/>
        <v/>
      </c>
      <c r="E64" t="s">
        <v>962</v>
      </c>
      <c r="F64" t="s">
        <v>2195</v>
      </c>
      <c r="G64" t="s">
        <v>2213</v>
      </c>
      <c r="H64" t="s">
        <v>1015</v>
      </c>
      <c r="I64" t="s">
        <v>1928</v>
      </c>
      <c r="J64">
        <v>1000</v>
      </c>
      <c r="K64">
        <v>0</v>
      </c>
      <c r="L64">
        <v>100</v>
      </c>
      <c r="M64">
        <v>300</v>
      </c>
      <c r="N64">
        <v>600</v>
      </c>
      <c r="O64">
        <v>0</v>
      </c>
      <c r="P64">
        <v>0</v>
      </c>
      <c r="Q64">
        <v>0</v>
      </c>
      <c r="R64" t="s">
        <v>1040</v>
      </c>
      <c r="S64" t="s">
        <v>2215</v>
      </c>
      <c r="T64" t="s">
        <v>2216</v>
      </c>
      <c r="U64" t="s">
        <v>2217</v>
      </c>
      <c r="V64" t="s">
        <v>2218</v>
      </c>
      <c r="W64" t="s">
        <v>2219</v>
      </c>
      <c r="X64" t="s">
        <v>2220</v>
      </c>
      <c r="Y64" t="s">
        <v>2221</v>
      </c>
      <c r="AA64" t="s">
        <v>1934</v>
      </c>
      <c r="AB64" t="s">
        <v>1040</v>
      </c>
      <c r="AC64" t="s">
        <v>1934</v>
      </c>
      <c r="AD64" t="s">
        <v>2222</v>
      </c>
      <c r="AE64" t="s">
        <v>1967</v>
      </c>
      <c r="AG64" t="s">
        <v>2114</v>
      </c>
      <c r="AH64" t="s">
        <v>2233</v>
      </c>
      <c r="AI64" t="s">
        <v>962</v>
      </c>
      <c r="AJ64" t="s">
        <v>2195</v>
      </c>
      <c r="AK64" t="s">
        <v>2213</v>
      </c>
      <c r="AL64" t="s">
        <v>1015</v>
      </c>
      <c r="AM64" t="s">
        <v>2242</v>
      </c>
      <c r="AN64">
        <v>1</v>
      </c>
      <c r="AO64" t="s">
        <v>2243</v>
      </c>
      <c r="AP64" t="s">
        <v>2243</v>
      </c>
      <c r="AQ64" t="s">
        <v>1039</v>
      </c>
      <c r="AR64" t="s">
        <v>1040</v>
      </c>
      <c r="AS64">
        <v>0</v>
      </c>
      <c r="AU64" t="s">
        <v>2244</v>
      </c>
      <c r="AV64" t="s">
        <v>1040</v>
      </c>
      <c r="AW64" t="s">
        <v>1934</v>
      </c>
      <c r="AX64" t="s">
        <v>1934</v>
      </c>
    </row>
    <row r="65" spans="1:50" ht="18.75" customHeight="1">
      <c r="A65" s="591">
        <v>58</v>
      </c>
      <c r="B65" s="591" t="str">
        <f t="shared" si="0"/>
        <v>2</v>
      </c>
      <c r="D65" s="592" t="str">
        <f t="shared" si="1"/>
        <v/>
      </c>
      <c r="E65" t="s">
        <v>962</v>
      </c>
      <c r="F65" t="s">
        <v>2195</v>
      </c>
      <c r="G65" t="s">
        <v>1027</v>
      </c>
      <c r="H65" t="s">
        <v>1028</v>
      </c>
      <c r="I65" t="s">
        <v>1928</v>
      </c>
      <c r="J65">
        <v>8540</v>
      </c>
      <c r="K65">
        <v>0</v>
      </c>
      <c r="L65">
        <v>2989</v>
      </c>
      <c r="M65">
        <v>2989</v>
      </c>
      <c r="N65">
        <v>2562</v>
      </c>
      <c r="O65">
        <v>0</v>
      </c>
      <c r="P65">
        <v>0</v>
      </c>
      <c r="Q65">
        <v>0</v>
      </c>
      <c r="R65" t="s">
        <v>1934</v>
      </c>
      <c r="S65" t="s">
        <v>2224</v>
      </c>
      <c r="T65" t="s">
        <v>1934</v>
      </c>
      <c r="U65" t="s">
        <v>2225</v>
      </c>
      <c r="V65" t="s">
        <v>2226</v>
      </c>
      <c r="W65" t="s">
        <v>2224</v>
      </c>
      <c r="X65" t="s">
        <v>1934</v>
      </c>
      <c r="Y65" t="s">
        <v>2227</v>
      </c>
      <c r="Z65" t="s">
        <v>2227</v>
      </c>
      <c r="AA65" t="s">
        <v>2228</v>
      </c>
      <c r="AB65" t="s">
        <v>2228</v>
      </c>
      <c r="AC65" t="s">
        <v>1934</v>
      </c>
      <c r="AD65" t="s">
        <v>2229</v>
      </c>
      <c r="AE65" t="s">
        <v>2230</v>
      </c>
      <c r="AG65" t="s">
        <v>2114</v>
      </c>
      <c r="AH65" t="s">
        <v>2233</v>
      </c>
      <c r="AI65" t="s">
        <v>962</v>
      </c>
      <c r="AJ65" t="s">
        <v>2195</v>
      </c>
      <c r="AK65" t="s">
        <v>1027</v>
      </c>
      <c r="AL65" t="s">
        <v>2245</v>
      </c>
      <c r="AM65">
        <v>1</v>
      </c>
      <c r="AN65">
        <v>1</v>
      </c>
      <c r="AO65" t="s">
        <v>2240</v>
      </c>
      <c r="AP65" t="s">
        <v>2240</v>
      </c>
      <c r="AQ65" t="s">
        <v>1039</v>
      </c>
      <c r="AR65" t="s">
        <v>1040</v>
      </c>
      <c r="AS65">
        <v>0</v>
      </c>
      <c r="AU65" t="s">
        <v>2246</v>
      </c>
      <c r="AV65" t="s">
        <v>1040</v>
      </c>
      <c r="AW65" t="s">
        <v>1934</v>
      </c>
      <c r="AX65" t="s">
        <v>1934</v>
      </c>
    </row>
    <row r="66" spans="1:50" ht="18.75" customHeight="1">
      <c r="A66" s="591">
        <v>59</v>
      </c>
      <c r="B66" s="591" t="str">
        <f t="shared" si="0"/>
        <v>2</v>
      </c>
      <c r="D66" s="592" t="str">
        <f t="shared" si="1"/>
        <v/>
      </c>
      <c r="E66" t="s">
        <v>962</v>
      </c>
      <c r="F66" t="s">
        <v>2195</v>
      </c>
      <c r="G66" t="s">
        <v>1057</v>
      </c>
      <c r="H66" t="s">
        <v>1058</v>
      </c>
      <c r="I66" t="s">
        <v>1928</v>
      </c>
      <c r="J66">
        <v>300</v>
      </c>
      <c r="K66">
        <v>0</v>
      </c>
      <c r="L66">
        <v>100</v>
      </c>
      <c r="M66">
        <v>100</v>
      </c>
      <c r="N66">
        <v>100</v>
      </c>
      <c r="O66">
        <v>0</v>
      </c>
      <c r="P66">
        <v>0</v>
      </c>
      <c r="Q66">
        <v>0</v>
      </c>
      <c r="R66" t="s">
        <v>1934</v>
      </c>
      <c r="S66" t="s">
        <v>2224</v>
      </c>
      <c r="T66" t="s">
        <v>1934</v>
      </c>
      <c r="U66" t="s">
        <v>2232</v>
      </c>
      <c r="V66" t="s">
        <v>2226</v>
      </c>
      <c r="W66" t="s">
        <v>2224</v>
      </c>
      <c r="X66" t="s">
        <v>1934</v>
      </c>
      <c r="Y66" t="s">
        <v>2227</v>
      </c>
      <c r="Z66" t="s">
        <v>2227</v>
      </c>
      <c r="AA66" t="s">
        <v>1934</v>
      </c>
      <c r="AB66" t="s">
        <v>1934</v>
      </c>
      <c r="AC66" t="s">
        <v>1934</v>
      </c>
      <c r="AD66" t="s">
        <v>2229</v>
      </c>
      <c r="AE66" t="s">
        <v>2230</v>
      </c>
      <c r="AG66" t="s">
        <v>2114</v>
      </c>
      <c r="AH66" t="s">
        <v>2233</v>
      </c>
      <c r="AI66" t="s">
        <v>962</v>
      </c>
      <c r="AJ66" t="s">
        <v>2195</v>
      </c>
      <c r="AK66" t="s">
        <v>1057</v>
      </c>
      <c r="AL66" t="s">
        <v>1058</v>
      </c>
      <c r="AM66">
        <v>1</v>
      </c>
      <c r="AN66">
        <v>1</v>
      </c>
      <c r="AO66" t="s">
        <v>2234</v>
      </c>
      <c r="AP66" t="s">
        <v>2234</v>
      </c>
      <c r="AQ66" t="s">
        <v>1039</v>
      </c>
      <c r="AR66" t="s">
        <v>1040</v>
      </c>
      <c r="AS66">
        <v>0</v>
      </c>
      <c r="AU66" t="s">
        <v>2247</v>
      </c>
      <c r="AV66" t="s">
        <v>1040</v>
      </c>
      <c r="AW66" t="s">
        <v>1934</v>
      </c>
      <c r="AX66" t="s">
        <v>1934</v>
      </c>
    </row>
    <row r="67" spans="1:50" ht="18.75" customHeight="1">
      <c r="A67" s="591">
        <v>60</v>
      </c>
      <c r="B67" s="591" t="str">
        <f t="shared" si="0"/>
        <v>2</v>
      </c>
      <c r="D67" s="592" t="str">
        <f t="shared" si="1"/>
        <v>2.7 Cirkulární ekonomika a recyklace a průmyslová voda</v>
      </c>
      <c r="E67" t="s">
        <v>1070</v>
      </c>
      <c r="F67" t="s">
        <v>2248</v>
      </c>
      <c r="G67" t="s">
        <v>2249</v>
      </c>
      <c r="H67" t="s">
        <v>1096</v>
      </c>
      <c r="I67" t="s">
        <v>2090</v>
      </c>
      <c r="J67">
        <v>2400</v>
      </c>
      <c r="K67">
        <v>0</v>
      </c>
      <c r="L67">
        <v>0</v>
      </c>
      <c r="M67">
        <v>200</v>
      </c>
      <c r="N67">
        <v>732</v>
      </c>
      <c r="O67">
        <v>734</v>
      </c>
      <c r="P67">
        <v>734</v>
      </c>
      <c r="Q67">
        <v>0</v>
      </c>
      <c r="R67" t="s">
        <v>2250</v>
      </c>
      <c r="S67" t="s">
        <v>2251</v>
      </c>
      <c r="U67">
        <v>0</v>
      </c>
      <c r="W67">
        <v>0</v>
      </c>
      <c r="Y67" t="s">
        <v>2252</v>
      </c>
      <c r="AA67" t="s">
        <v>2117</v>
      </c>
      <c r="AB67" t="s">
        <v>2253</v>
      </c>
      <c r="AC67" t="s">
        <v>2117</v>
      </c>
      <c r="AD67" t="s">
        <v>2254</v>
      </c>
      <c r="AE67" t="s">
        <v>2255</v>
      </c>
      <c r="AG67" t="s">
        <v>2114</v>
      </c>
      <c r="AI67" t="s">
        <v>1070</v>
      </c>
      <c r="AK67" t="s">
        <v>2267</v>
      </c>
      <c r="AM67" t="s">
        <v>2268</v>
      </c>
      <c r="AN67" t="s">
        <v>2269</v>
      </c>
      <c r="AO67" t="s">
        <v>2270</v>
      </c>
      <c r="AQ67" t="s">
        <v>2271</v>
      </c>
      <c r="AS67">
        <v>0</v>
      </c>
      <c r="AU67" t="s">
        <v>2286</v>
      </c>
      <c r="AW67" t="s">
        <v>2272</v>
      </c>
    </row>
    <row r="68" spans="1:50" ht="18.75" customHeight="1">
      <c r="A68" s="591">
        <v>61</v>
      </c>
      <c r="B68" s="591" t="str">
        <f t="shared" si="0"/>
        <v>2</v>
      </c>
      <c r="D68" s="592" t="str">
        <f t="shared" si="1"/>
        <v/>
      </c>
      <c r="E68" t="s">
        <v>1070</v>
      </c>
      <c r="AK68" t="s">
        <v>2273</v>
      </c>
      <c r="AM68">
        <v>1</v>
      </c>
      <c r="AN68">
        <v>1</v>
      </c>
      <c r="AO68" t="s">
        <v>2274</v>
      </c>
      <c r="AQ68" t="s">
        <v>2275</v>
      </c>
    </row>
    <row r="69" spans="1:50" ht="18.75" customHeight="1">
      <c r="A69" s="591">
        <v>62</v>
      </c>
      <c r="B69" s="591" t="str">
        <f t="shared" si="0"/>
        <v>2</v>
      </c>
      <c r="D69" s="592" t="str">
        <f t="shared" si="1"/>
        <v/>
      </c>
      <c r="E69" t="s">
        <v>1070</v>
      </c>
      <c r="AK69" t="s">
        <v>2276</v>
      </c>
      <c r="AM69" t="s">
        <v>2277</v>
      </c>
      <c r="AN69" t="s">
        <v>2278</v>
      </c>
      <c r="AO69" t="s">
        <v>2279</v>
      </c>
    </row>
    <row r="70" spans="1:50" ht="18.75" customHeight="1">
      <c r="A70" s="591">
        <v>63</v>
      </c>
      <c r="B70" s="591" t="str">
        <f t="shared" si="0"/>
        <v>2</v>
      </c>
      <c r="D70" s="592" t="str">
        <f t="shared" si="1"/>
        <v/>
      </c>
      <c r="E70" t="s">
        <v>1070</v>
      </c>
      <c r="F70">
        <v>0</v>
      </c>
      <c r="G70" t="s">
        <v>2256</v>
      </c>
      <c r="H70">
        <v>0</v>
      </c>
      <c r="I70" t="s">
        <v>2090</v>
      </c>
      <c r="J70">
        <v>1000</v>
      </c>
      <c r="K70">
        <v>0</v>
      </c>
      <c r="L70">
        <v>0</v>
      </c>
      <c r="M70">
        <v>200</v>
      </c>
      <c r="N70">
        <v>200</v>
      </c>
      <c r="O70">
        <v>300</v>
      </c>
      <c r="P70">
        <v>300</v>
      </c>
      <c r="Q70">
        <v>0</v>
      </c>
      <c r="R70" t="s">
        <v>2257</v>
      </c>
      <c r="S70" t="s">
        <v>2258</v>
      </c>
      <c r="U70">
        <v>0</v>
      </c>
      <c r="W70">
        <v>0</v>
      </c>
      <c r="Y70" t="s">
        <v>2259</v>
      </c>
      <c r="AA70" t="s">
        <v>2260</v>
      </c>
      <c r="AB70" t="s">
        <v>2253</v>
      </c>
      <c r="AC70" t="s">
        <v>2117</v>
      </c>
      <c r="AD70" t="s">
        <v>2261</v>
      </c>
      <c r="AE70" t="s">
        <v>2262</v>
      </c>
      <c r="AG70" t="s">
        <v>2114</v>
      </c>
      <c r="AI70" t="s">
        <v>1070</v>
      </c>
      <c r="AK70" t="s">
        <v>1131</v>
      </c>
      <c r="AM70">
        <v>0.4</v>
      </c>
      <c r="AN70">
        <v>0.4</v>
      </c>
      <c r="AO70" t="s">
        <v>2280</v>
      </c>
      <c r="AP70" t="s">
        <v>2281</v>
      </c>
      <c r="AQ70" t="s">
        <v>2166</v>
      </c>
      <c r="AR70" t="s">
        <v>2012</v>
      </c>
      <c r="AS70">
        <v>0</v>
      </c>
      <c r="AU70" t="s">
        <v>2282</v>
      </c>
      <c r="AV70" t="s">
        <v>2012</v>
      </c>
      <c r="AW70" t="s">
        <v>2272</v>
      </c>
      <c r="AX70" t="s">
        <v>2283</v>
      </c>
    </row>
    <row r="71" spans="1:50" ht="18.75" customHeight="1">
      <c r="A71" s="591">
        <v>64</v>
      </c>
      <c r="B71" s="591" t="str">
        <f t="shared" si="0"/>
        <v>2</v>
      </c>
      <c r="D71" s="592" t="str">
        <f t="shared" si="1"/>
        <v/>
      </c>
      <c r="E71" t="s">
        <v>1070</v>
      </c>
      <c r="F71">
        <v>0</v>
      </c>
      <c r="G71" t="s">
        <v>2263</v>
      </c>
      <c r="H71">
        <v>0</v>
      </c>
      <c r="I71" t="s">
        <v>2090</v>
      </c>
      <c r="J71">
        <v>1000</v>
      </c>
      <c r="K71">
        <v>0</v>
      </c>
      <c r="L71">
        <v>0</v>
      </c>
      <c r="M71">
        <v>200</v>
      </c>
      <c r="N71">
        <v>200</v>
      </c>
      <c r="O71">
        <v>300</v>
      </c>
      <c r="P71">
        <v>300</v>
      </c>
      <c r="Q71">
        <v>0</v>
      </c>
      <c r="R71" t="s">
        <v>2264</v>
      </c>
      <c r="S71" t="s">
        <v>2265</v>
      </c>
      <c r="U71">
        <v>0</v>
      </c>
      <c r="W71">
        <v>0</v>
      </c>
      <c r="Y71" t="s">
        <v>2266</v>
      </c>
      <c r="AA71" t="s">
        <v>2260</v>
      </c>
      <c r="AB71" t="s">
        <v>2253</v>
      </c>
      <c r="AC71" t="s">
        <v>2117</v>
      </c>
      <c r="AD71" t="s">
        <v>2261</v>
      </c>
      <c r="AE71" t="s">
        <v>2262</v>
      </c>
      <c r="AG71" t="s">
        <v>2114</v>
      </c>
      <c r="AI71" t="s">
        <v>1070</v>
      </c>
      <c r="AK71" t="s">
        <v>1147</v>
      </c>
      <c r="AM71">
        <v>0.4</v>
      </c>
      <c r="AN71">
        <v>0.4</v>
      </c>
      <c r="AO71" t="s">
        <v>2280</v>
      </c>
      <c r="AP71" t="s">
        <v>2284</v>
      </c>
      <c r="AQ71" t="s">
        <v>2166</v>
      </c>
      <c r="AR71" t="s">
        <v>2012</v>
      </c>
      <c r="AS71">
        <v>0</v>
      </c>
      <c r="AU71" t="s">
        <v>2285</v>
      </c>
      <c r="AV71" t="s">
        <v>2012</v>
      </c>
      <c r="AW71" t="s">
        <v>2272</v>
      </c>
      <c r="AX71" t="s">
        <v>2283</v>
      </c>
    </row>
    <row r="72" spans="1:50" ht="18.75" customHeight="1">
      <c r="A72" s="591">
        <v>65</v>
      </c>
      <c r="B72" s="591" t="str">
        <f t="shared" si="0"/>
        <v>2</v>
      </c>
      <c r="D72" s="592" t="str">
        <f t="shared" si="1"/>
        <v>2.8. Regenerace brownfieldů</v>
      </c>
      <c r="E72" t="s">
        <v>2316</v>
      </c>
      <c r="F72" t="s">
        <v>2317</v>
      </c>
      <c r="G72" t="s">
        <v>2318</v>
      </c>
      <c r="H72" t="s">
        <v>2319</v>
      </c>
      <c r="I72" t="s">
        <v>2090</v>
      </c>
      <c r="J72">
        <v>100</v>
      </c>
      <c r="K72">
        <v>0</v>
      </c>
      <c r="L72">
        <v>0</v>
      </c>
      <c r="M72">
        <v>20</v>
      </c>
      <c r="N72">
        <v>20</v>
      </c>
      <c r="O72">
        <v>30</v>
      </c>
      <c r="P72">
        <v>30</v>
      </c>
      <c r="Q72">
        <v>0</v>
      </c>
      <c r="R72" t="s">
        <v>1168</v>
      </c>
      <c r="S72" t="s">
        <v>2288</v>
      </c>
      <c r="T72" t="s">
        <v>2289</v>
      </c>
      <c r="U72" t="s">
        <v>2290</v>
      </c>
      <c r="V72" t="s">
        <v>2291</v>
      </c>
      <c r="W72" t="s">
        <v>2288</v>
      </c>
      <c r="X72" t="s">
        <v>2289</v>
      </c>
      <c r="Y72" t="s">
        <v>2292</v>
      </c>
      <c r="Z72" t="s">
        <v>2292</v>
      </c>
      <c r="AA72" t="s">
        <v>2293</v>
      </c>
      <c r="AB72" t="s">
        <v>2294</v>
      </c>
      <c r="AC72" t="s">
        <v>2294</v>
      </c>
      <c r="AD72" t="s">
        <v>2295</v>
      </c>
      <c r="AE72">
        <v>0</v>
      </c>
      <c r="AG72" t="s">
        <v>2323</v>
      </c>
      <c r="AH72" t="s">
        <v>2324</v>
      </c>
      <c r="AI72" t="s">
        <v>2316</v>
      </c>
      <c r="AJ72" t="s">
        <v>2317</v>
      </c>
      <c r="AK72" t="s">
        <v>2318</v>
      </c>
      <c r="AL72" t="s">
        <v>2319</v>
      </c>
      <c r="AM72">
        <v>0</v>
      </c>
      <c r="AN72">
        <v>1</v>
      </c>
      <c r="AO72">
        <v>46</v>
      </c>
      <c r="AP72">
        <v>46</v>
      </c>
      <c r="AQ72" t="s">
        <v>1039</v>
      </c>
      <c r="AR72" t="s">
        <v>1040</v>
      </c>
      <c r="AS72">
        <v>0</v>
      </c>
      <c r="AU72" t="s">
        <v>2325</v>
      </c>
      <c r="AV72" t="s">
        <v>2326</v>
      </c>
      <c r="AW72" t="s">
        <v>1168</v>
      </c>
      <c r="AX72" t="s">
        <v>1168</v>
      </c>
    </row>
    <row r="73" spans="1:50" ht="18.75" customHeight="1">
      <c r="A73" s="591">
        <v>66</v>
      </c>
      <c r="B73" s="591" t="str">
        <f t="shared" ref="B73:B106" si="2">LEFT(E73,1)</f>
        <v>2</v>
      </c>
      <c r="D73" s="592" t="str">
        <f t="shared" ref="D73:D106" si="3">IF(E73=E72,"",E73)</f>
        <v/>
      </c>
      <c r="E73" t="s">
        <v>2316</v>
      </c>
      <c r="F73" t="s">
        <v>2317</v>
      </c>
      <c r="G73" t="s">
        <v>2320</v>
      </c>
      <c r="H73" t="s">
        <v>2321</v>
      </c>
      <c r="I73" t="s">
        <v>2090</v>
      </c>
      <c r="J73">
        <v>1100</v>
      </c>
      <c r="K73">
        <v>0</v>
      </c>
      <c r="L73">
        <v>0</v>
      </c>
      <c r="M73">
        <v>150</v>
      </c>
      <c r="N73">
        <v>250</v>
      </c>
      <c r="O73">
        <v>300</v>
      </c>
      <c r="P73">
        <v>400</v>
      </c>
      <c r="Q73">
        <v>0</v>
      </c>
      <c r="R73" t="s">
        <v>1168</v>
      </c>
      <c r="S73" t="s">
        <v>2288</v>
      </c>
      <c r="T73" t="s">
        <v>2289</v>
      </c>
      <c r="U73" t="s">
        <v>2288</v>
      </c>
      <c r="V73" t="s">
        <v>2289</v>
      </c>
      <c r="W73" t="s">
        <v>2288</v>
      </c>
      <c r="X73" t="s">
        <v>2289</v>
      </c>
      <c r="Y73" t="s">
        <v>2297</v>
      </c>
      <c r="Z73" t="s">
        <v>2297</v>
      </c>
      <c r="AA73" t="s">
        <v>2298</v>
      </c>
      <c r="AB73" t="s">
        <v>2294</v>
      </c>
      <c r="AC73" t="s">
        <v>2294</v>
      </c>
      <c r="AD73" t="s">
        <v>2299</v>
      </c>
      <c r="AE73">
        <v>0.3</v>
      </c>
      <c r="AG73" t="s">
        <v>2323</v>
      </c>
      <c r="AH73" t="s">
        <v>2324</v>
      </c>
      <c r="AI73" t="s">
        <v>2316</v>
      </c>
      <c r="AJ73" t="s">
        <v>2317</v>
      </c>
      <c r="AK73" t="s">
        <v>2320</v>
      </c>
      <c r="AL73" t="s">
        <v>2321</v>
      </c>
      <c r="AM73">
        <v>0</v>
      </c>
      <c r="AN73">
        <v>1</v>
      </c>
      <c r="AO73">
        <v>46</v>
      </c>
      <c r="AP73">
        <v>46</v>
      </c>
      <c r="AQ73" t="s">
        <v>1039</v>
      </c>
      <c r="AR73" t="s">
        <v>1040</v>
      </c>
      <c r="AS73">
        <v>0</v>
      </c>
      <c r="AU73" t="s">
        <v>2325</v>
      </c>
      <c r="AV73" t="s">
        <v>2326</v>
      </c>
      <c r="AW73" t="s">
        <v>1168</v>
      </c>
      <c r="AX73" t="s">
        <v>1168</v>
      </c>
    </row>
    <row r="74" spans="1:50" ht="18.75" customHeight="1">
      <c r="A74" s="591">
        <v>67</v>
      </c>
      <c r="B74" s="591" t="str">
        <f t="shared" si="2"/>
        <v>2</v>
      </c>
      <c r="D74" s="592" t="str">
        <f t="shared" si="3"/>
        <v/>
      </c>
      <c r="E74" t="s">
        <v>2316</v>
      </c>
      <c r="F74" t="s">
        <v>2317</v>
      </c>
      <c r="G74" t="s">
        <v>1897</v>
      </c>
      <c r="H74" t="s">
        <v>2322</v>
      </c>
      <c r="I74" t="s">
        <v>1973</v>
      </c>
      <c r="J74">
        <v>1800</v>
      </c>
      <c r="K74">
        <v>0</v>
      </c>
      <c r="L74">
        <v>100</v>
      </c>
      <c r="M74">
        <v>200</v>
      </c>
      <c r="N74">
        <v>300</v>
      </c>
      <c r="O74">
        <v>500</v>
      </c>
      <c r="P74">
        <v>600</v>
      </c>
      <c r="Q74">
        <v>0</v>
      </c>
      <c r="R74" t="s">
        <v>1168</v>
      </c>
      <c r="S74" t="s">
        <v>2288</v>
      </c>
      <c r="T74" t="s">
        <v>2289</v>
      </c>
      <c r="U74" t="s">
        <v>2301</v>
      </c>
      <c r="V74" t="s">
        <v>2302</v>
      </c>
      <c r="W74" t="s">
        <v>2288</v>
      </c>
      <c r="X74" t="s">
        <v>2289</v>
      </c>
      <c r="Y74" t="s">
        <v>2292</v>
      </c>
      <c r="Z74" t="s">
        <v>2292</v>
      </c>
      <c r="AA74" t="s">
        <v>2294</v>
      </c>
      <c r="AB74" t="s">
        <v>2294</v>
      </c>
      <c r="AC74" t="s">
        <v>2294</v>
      </c>
      <c r="AD74" t="s">
        <v>2295</v>
      </c>
      <c r="AE74">
        <v>0</v>
      </c>
      <c r="AG74" t="s">
        <v>2323</v>
      </c>
      <c r="AH74" t="s">
        <v>2324</v>
      </c>
      <c r="AI74" t="s">
        <v>2316</v>
      </c>
      <c r="AJ74" t="s">
        <v>2317</v>
      </c>
      <c r="AK74" t="s">
        <v>1897</v>
      </c>
      <c r="AL74" t="s">
        <v>2322</v>
      </c>
      <c r="AM74">
        <v>0</v>
      </c>
      <c r="AN74">
        <v>1</v>
      </c>
      <c r="AO74">
        <v>46</v>
      </c>
      <c r="AP74">
        <v>46</v>
      </c>
      <c r="AQ74" t="s">
        <v>1039</v>
      </c>
      <c r="AR74" t="s">
        <v>1040</v>
      </c>
      <c r="AS74">
        <v>0</v>
      </c>
      <c r="AU74" t="s">
        <v>2325</v>
      </c>
      <c r="AV74" t="s">
        <v>2326</v>
      </c>
      <c r="AW74" t="s">
        <v>1168</v>
      </c>
      <c r="AX74" t="s">
        <v>1168</v>
      </c>
    </row>
    <row r="75" spans="1:50" ht="18.75" customHeight="1">
      <c r="A75" s="591">
        <v>68</v>
      </c>
      <c r="B75" s="591" t="str">
        <f t="shared" si="2"/>
        <v>2</v>
      </c>
      <c r="D75" s="592" t="str">
        <f t="shared" si="3"/>
        <v>2.9. Regenerace brownfieldů</v>
      </c>
      <c r="E75" t="s">
        <v>2303</v>
      </c>
      <c r="F75" t="s">
        <v>2304</v>
      </c>
      <c r="G75" t="s">
        <v>2305</v>
      </c>
      <c r="H75" t="s">
        <v>2306</v>
      </c>
      <c r="I75" t="s">
        <v>2307</v>
      </c>
      <c r="J75">
        <v>1000</v>
      </c>
      <c r="K75">
        <v>56</v>
      </c>
      <c r="L75">
        <v>40</v>
      </c>
      <c r="M75">
        <v>114</v>
      </c>
      <c r="N75">
        <v>280</v>
      </c>
      <c r="O75">
        <v>204</v>
      </c>
      <c r="P75">
        <v>306</v>
      </c>
      <c r="Q75">
        <v>0</v>
      </c>
      <c r="R75" t="s">
        <v>1168</v>
      </c>
      <c r="S75" t="s">
        <v>2288</v>
      </c>
      <c r="T75" t="s">
        <v>2289</v>
      </c>
      <c r="U75" t="s">
        <v>2308</v>
      </c>
      <c r="V75" t="s">
        <v>2309</v>
      </c>
      <c r="W75" t="s">
        <v>2310</v>
      </c>
      <c r="X75" t="s">
        <v>2311</v>
      </c>
      <c r="Y75" t="s">
        <v>2312</v>
      </c>
      <c r="Z75" t="s">
        <v>2313</v>
      </c>
      <c r="AA75" t="s">
        <v>2314</v>
      </c>
      <c r="AB75" t="s">
        <v>2294</v>
      </c>
      <c r="AC75" t="s">
        <v>2294</v>
      </c>
      <c r="AD75" t="s">
        <v>2295</v>
      </c>
      <c r="AE75">
        <v>0</v>
      </c>
      <c r="AG75" t="s">
        <v>2323</v>
      </c>
      <c r="AH75" t="s">
        <v>2324</v>
      </c>
      <c r="AI75" t="s">
        <v>2316</v>
      </c>
      <c r="AJ75" t="s">
        <v>2317</v>
      </c>
      <c r="AK75" t="s">
        <v>2305</v>
      </c>
      <c r="AL75" t="s">
        <v>2306</v>
      </c>
      <c r="AM75">
        <v>0</v>
      </c>
      <c r="AN75">
        <v>1</v>
      </c>
      <c r="AO75">
        <v>46</v>
      </c>
      <c r="AP75">
        <v>46</v>
      </c>
      <c r="AQ75" t="s">
        <v>1039</v>
      </c>
      <c r="AR75" t="s">
        <v>1040</v>
      </c>
      <c r="AS75">
        <v>0</v>
      </c>
      <c r="AU75" t="s">
        <v>2325</v>
      </c>
      <c r="AV75" t="s">
        <v>2326</v>
      </c>
      <c r="AW75" t="s">
        <v>1168</v>
      </c>
      <c r="AX75" t="s">
        <v>1168</v>
      </c>
    </row>
    <row r="76" spans="1:50" ht="18.75" customHeight="1">
      <c r="A76" s="591">
        <v>69</v>
      </c>
      <c r="B76" s="591" t="str">
        <f t="shared" si="2"/>
        <v>3</v>
      </c>
      <c r="D76" s="592" t="str">
        <f t="shared" si="3"/>
        <v>3.1 Inovace ve vzdělávání  kontextu digitalizace</v>
      </c>
      <c r="E76" t="s">
        <v>2327</v>
      </c>
      <c r="F76" t="s">
        <v>2328</v>
      </c>
      <c r="G76" t="s">
        <v>1207</v>
      </c>
      <c r="H76" t="s">
        <v>2329</v>
      </c>
      <c r="I76" t="s">
        <v>1928</v>
      </c>
      <c r="J76">
        <v>20</v>
      </c>
      <c r="K76">
        <v>0</v>
      </c>
      <c r="L76">
        <v>20</v>
      </c>
      <c r="M76">
        <v>0</v>
      </c>
      <c r="N76">
        <v>0</v>
      </c>
      <c r="O76">
        <v>0</v>
      </c>
      <c r="P76">
        <v>0</v>
      </c>
      <c r="R76" t="s">
        <v>129</v>
      </c>
      <c r="S76" t="s">
        <v>129</v>
      </c>
      <c r="T76" t="s">
        <v>129</v>
      </c>
      <c r="U76" t="s">
        <v>129</v>
      </c>
      <c r="V76" t="s">
        <v>129</v>
      </c>
      <c r="W76" t="s">
        <v>129</v>
      </c>
      <c r="X76" t="s">
        <v>129</v>
      </c>
      <c r="Y76" t="s">
        <v>2330</v>
      </c>
      <c r="Z76" t="s">
        <v>2331</v>
      </c>
      <c r="AA76" t="s">
        <v>129</v>
      </c>
      <c r="AB76" t="s">
        <v>129</v>
      </c>
      <c r="AC76" t="s">
        <v>129</v>
      </c>
      <c r="AD76" t="s">
        <v>2332</v>
      </c>
      <c r="AE76" t="s">
        <v>1967</v>
      </c>
      <c r="AG76" t="s">
        <v>2340</v>
      </c>
      <c r="AH76" t="s">
        <v>2341</v>
      </c>
      <c r="AI76" t="s">
        <v>1206</v>
      </c>
      <c r="AJ76" t="s">
        <v>2328</v>
      </c>
      <c r="AK76" t="s">
        <v>1207</v>
      </c>
      <c r="AL76" t="s">
        <v>2329</v>
      </c>
      <c r="AM76">
        <v>0</v>
      </c>
      <c r="AN76">
        <v>0</v>
      </c>
      <c r="AO76" t="s">
        <v>2342</v>
      </c>
      <c r="AP76" t="s">
        <v>2343</v>
      </c>
      <c r="AQ76" t="s">
        <v>2166</v>
      </c>
      <c r="AR76" t="s">
        <v>2012</v>
      </c>
      <c r="AS76">
        <v>1</v>
      </c>
      <c r="AU76" t="s">
        <v>129</v>
      </c>
      <c r="AV76" t="s">
        <v>129</v>
      </c>
      <c r="AW76" t="s">
        <v>2344</v>
      </c>
      <c r="AX76" t="s">
        <v>2345</v>
      </c>
    </row>
    <row r="77" spans="1:50" ht="18.75" customHeight="1">
      <c r="A77" s="591">
        <v>70</v>
      </c>
      <c r="B77" s="591" t="str">
        <f t="shared" si="2"/>
        <v>3</v>
      </c>
      <c r="D77" s="592" t="str">
        <f t="shared" si="3"/>
        <v/>
      </c>
      <c r="E77" t="s">
        <v>2327</v>
      </c>
      <c r="F77" t="s">
        <v>2328</v>
      </c>
      <c r="G77" t="s">
        <v>1227</v>
      </c>
      <c r="H77" t="s">
        <v>2333</v>
      </c>
      <c r="I77" t="s">
        <v>2102</v>
      </c>
      <c r="J77">
        <v>542</v>
      </c>
      <c r="K77">
        <v>0</v>
      </c>
      <c r="L77">
        <v>0</v>
      </c>
      <c r="M77">
        <v>542</v>
      </c>
      <c r="N77">
        <v>0</v>
      </c>
      <c r="O77">
        <v>0</v>
      </c>
      <c r="P77">
        <v>0</v>
      </c>
      <c r="R77" t="s">
        <v>129</v>
      </c>
      <c r="S77" t="s">
        <v>129</v>
      </c>
      <c r="T77" t="s">
        <v>129</v>
      </c>
      <c r="U77" t="s">
        <v>129</v>
      </c>
      <c r="V77" t="s">
        <v>129</v>
      </c>
      <c r="W77" t="s">
        <v>129</v>
      </c>
      <c r="X77" t="s">
        <v>129</v>
      </c>
      <c r="Y77" t="s">
        <v>2330</v>
      </c>
      <c r="Z77" t="s">
        <v>2331</v>
      </c>
      <c r="AA77" t="s">
        <v>129</v>
      </c>
      <c r="AB77" t="s">
        <v>129</v>
      </c>
      <c r="AC77" t="s">
        <v>129</v>
      </c>
      <c r="AD77" t="s">
        <v>2334</v>
      </c>
      <c r="AE77" t="s">
        <v>1967</v>
      </c>
      <c r="AG77" t="s">
        <v>2340</v>
      </c>
      <c r="AH77" t="s">
        <v>2341</v>
      </c>
      <c r="AI77" t="s">
        <v>1206</v>
      </c>
      <c r="AJ77" t="s">
        <v>2328</v>
      </c>
      <c r="AK77" t="s">
        <v>1227</v>
      </c>
      <c r="AL77" t="s">
        <v>2333</v>
      </c>
      <c r="AM77">
        <v>0</v>
      </c>
      <c r="AN77">
        <v>0</v>
      </c>
      <c r="AO77" t="s">
        <v>2342</v>
      </c>
      <c r="AP77" t="s">
        <v>2343</v>
      </c>
      <c r="AQ77" t="s">
        <v>2166</v>
      </c>
      <c r="AR77" t="s">
        <v>2012</v>
      </c>
      <c r="AS77">
        <v>1</v>
      </c>
      <c r="AU77" t="s">
        <v>129</v>
      </c>
      <c r="AV77" t="s">
        <v>129</v>
      </c>
      <c r="AW77" t="s">
        <v>2344</v>
      </c>
      <c r="AX77" t="s">
        <v>2345</v>
      </c>
    </row>
    <row r="78" spans="1:50" ht="18.75" customHeight="1">
      <c r="A78" s="591">
        <v>71</v>
      </c>
      <c r="B78" s="591" t="str">
        <f t="shared" si="2"/>
        <v>3</v>
      </c>
      <c r="D78" s="592" t="str">
        <f t="shared" si="3"/>
        <v/>
      </c>
      <c r="E78" t="s">
        <v>2327</v>
      </c>
      <c r="F78" t="s">
        <v>2328</v>
      </c>
      <c r="G78" t="s">
        <v>2335</v>
      </c>
      <c r="H78" t="s">
        <v>2336</v>
      </c>
      <c r="I78" t="s">
        <v>2099</v>
      </c>
      <c r="J78">
        <v>4294.57</v>
      </c>
      <c r="K78">
        <v>1300</v>
      </c>
      <c r="L78">
        <v>0.56999999999999995</v>
      </c>
      <c r="M78">
        <v>1984</v>
      </c>
      <c r="N78">
        <v>7</v>
      </c>
      <c r="O78">
        <v>7</v>
      </c>
      <c r="P78">
        <v>996</v>
      </c>
      <c r="R78" t="s">
        <v>129</v>
      </c>
      <c r="S78" t="s">
        <v>129</v>
      </c>
      <c r="T78" t="s">
        <v>129</v>
      </c>
      <c r="U78" t="s">
        <v>129</v>
      </c>
      <c r="V78" t="s">
        <v>129</v>
      </c>
      <c r="W78" t="s">
        <v>129</v>
      </c>
      <c r="X78" t="s">
        <v>129</v>
      </c>
      <c r="Y78" t="s">
        <v>2330</v>
      </c>
      <c r="Z78" t="s">
        <v>2331</v>
      </c>
      <c r="AA78" t="s">
        <v>129</v>
      </c>
      <c r="AB78" t="s">
        <v>129</v>
      </c>
      <c r="AC78" t="s">
        <v>129</v>
      </c>
      <c r="AD78" t="s">
        <v>2337</v>
      </c>
      <c r="AE78" t="s">
        <v>1967</v>
      </c>
      <c r="AG78" t="s">
        <v>2340</v>
      </c>
      <c r="AH78" t="s">
        <v>2341</v>
      </c>
      <c r="AI78" t="s">
        <v>1206</v>
      </c>
      <c r="AJ78" t="s">
        <v>2328</v>
      </c>
      <c r="AK78" t="s">
        <v>2335</v>
      </c>
      <c r="AL78" t="s">
        <v>2336</v>
      </c>
      <c r="AM78">
        <v>0</v>
      </c>
      <c r="AN78">
        <v>0</v>
      </c>
      <c r="AO78" t="s">
        <v>2342</v>
      </c>
      <c r="AP78" t="s">
        <v>2343</v>
      </c>
      <c r="AQ78" t="s">
        <v>2166</v>
      </c>
      <c r="AR78" t="s">
        <v>2012</v>
      </c>
      <c r="AS78">
        <v>1</v>
      </c>
      <c r="AU78" t="s">
        <v>129</v>
      </c>
      <c r="AV78" t="s">
        <v>129</v>
      </c>
      <c r="AW78" t="s">
        <v>2344</v>
      </c>
      <c r="AX78" t="s">
        <v>2345</v>
      </c>
    </row>
    <row r="79" spans="1:50" ht="18.75" customHeight="1">
      <c r="A79" s="591">
        <v>72</v>
      </c>
      <c r="B79" s="591" t="str">
        <f t="shared" si="2"/>
        <v>3</v>
      </c>
      <c r="D79" s="592" t="str">
        <f t="shared" si="3"/>
        <v>3.2 Adaptace kapacity a zaměření školních programů</v>
      </c>
      <c r="E79" t="s">
        <v>1316</v>
      </c>
      <c r="F79" t="s">
        <v>2346</v>
      </c>
      <c r="G79" t="s">
        <v>1317</v>
      </c>
      <c r="H79" t="s">
        <v>2347</v>
      </c>
      <c r="I79" t="s">
        <v>2085</v>
      </c>
      <c r="J79">
        <v>3000</v>
      </c>
      <c r="K79">
        <v>0</v>
      </c>
      <c r="L79">
        <v>0</v>
      </c>
      <c r="M79">
        <v>1000</v>
      </c>
      <c r="N79">
        <v>2000</v>
      </c>
      <c r="O79">
        <v>0</v>
      </c>
      <c r="P79">
        <v>0</v>
      </c>
      <c r="Q79">
        <v>0</v>
      </c>
      <c r="R79" t="s">
        <v>129</v>
      </c>
      <c r="S79" t="s">
        <v>129</v>
      </c>
      <c r="T79" t="s">
        <v>129</v>
      </c>
      <c r="U79" t="s">
        <v>129</v>
      </c>
      <c r="V79" t="s">
        <v>129</v>
      </c>
      <c r="W79" t="s">
        <v>129</v>
      </c>
      <c r="X79" t="s">
        <v>129</v>
      </c>
      <c r="Y79" t="s">
        <v>2348</v>
      </c>
      <c r="Z79" t="s">
        <v>2349</v>
      </c>
      <c r="AA79" t="s">
        <v>129</v>
      </c>
      <c r="AB79" t="s">
        <v>129</v>
      </c>
      <c r="AC79" t="s">
        <v>129</v>
      </c>
      <c r="AD79" t="s">
        <v>2350</v>
      </c>
      <c r="AE79" t="s">
        <v>1967</v>
      </c>
      <c r="AG79" t="s">
        <v>2340</v>
      </c>
      <c r="AH79" t="s">
        <v>2341</v>
      </c>
      <c r="AI79" t="s">
        <v>1316</v>
      </c>
      <c r="AJ79" t="s">
        <v>2359</v>
      </c>
      <c r="AK79" t="s">
        <v>1317</v>
      </c>
      <c r="AL79" t="s">
        <v>2347</v>
      </c>
      <c r="AM79">
        <v>0</v>
      </c>
      <c r="AN79">
        <v>0</v>
      </c>
      <c r="AO79" t="s">
        <v>2360</v>
      </c>
      <c r="AP79" t="s">
        <v>2361</v>
      </c>
      <c r="AQ79" t="s">
        <v>2166</v>
      </c>
      <c r="AR79" t="s">
        <v>2012</v>
      </c>
      <c r="AS79">
        <v>0</v>
      </c>
      <c r="AU79" t="s">
        <v>1168</v>
      </c>
      <c r="AV79" t="s">
        <v>1168</v>
      </c>
      <c r="AW79" t="s">
        <v>2362</v>
      </c>
      <c r="AX79" t="s">
        <v>2363</v>
      </c>
    </row>
    <row r="80" spans="1:50" ht="18.75" customHeight="1">
      <c r="A80" s="591">
        <v>73</v>
      </c>
      <c r="B80" s="591" t="str">
        <f t="shared" si="2"/>
        <v>3</v>
      </c>
      <c r="D80" s="592" t="str">
        <f t="shared" si="3"/>
        <v/>
      </c>
      <c r="E80" t="s">
        <v>1316</v>
      </c>
      <c r="F80" t="s">
        <v>2346</v>
      </c>
      <c r="G80" t="s">
        <v>1338</v>
      </c>
      <c r="H80" t="s">
        <v>1339</v>
      </c>
      <c r="I80" t="s">
        <v>2102</v>
      </c>
      <c r="J80">
        <v>7160</v>
      </c>
      <c r="K80">
        <v>0</v>
      </c>
      <c r="L80">
        <v>500</v>
      </c>
      <c r="M80">
        <v>1200</v>
      </c>
      <c r="N80">
        <v>1500</v>
      </c>
      <c r="O80">
        <v>1500</v>
      </c>
      <c r="P80">
        <v>1500</v>
      </c>
      <c r="Q80">
        <v>960</v>
      </c>
      <c r="R80" t="s">
        <v>129</v>
      </c>
      <c r="S80" t="s">
        <v>129</v>
      </c>
      <c r="T80" t="s">
        <v>129</v>
      </c>
      <c r="U80" t="s">
        <v>129</v>
      </c>
      <c r="V80" t="s">
        <v>129</v>
      </c>
      <c r="W80" t="s">
        <v>129</v>
      </c>
      <c r="X80" t="s">
        <v>129</v>
      </c>
      <c r="Y80" t="s">
        <v>2351</v>
      </c>
      <c r="Z80" t="s">
        <v>2352</v>
      </c>
      <c r="AA80" t="s">
        <v>129</v>
      </c>
      <c r="AB80" t="s">
        <v>129</v>
      </c>
      <c r="AC80" t="s">
        <v>129</v>
      </c>
      <c r="AD80" t="s">
        <v>2353</v>
      </c>
      <c r="AE80" t="s">
        <v>1967</v>
      </c>
      <c r="AG80" t="s">
        <v>2340</v>
      </c>
      <c r="AH80" t="s">
        <v>2341</v>
      </c>
      <c r="AI80" t="s">
        <v>1316</v>
      </c>
      <c r="AJ80" t="s">
        <v>2359</v>
      </c>
      <c r="AK80" t="s">
        <v>1338</v>
      </c>
      <c r="AL80" t="s">
        <v>1339</v>
      </c>
      <c r="AM80">
        <v>0</v>
      </c>
      <c r="AN80">
        <v>0</v>
      </c>
      <c r="AO80" t="s">
        <v>2364</v>
      </c>
      <c r="AP80" t="s">
        <v>2365</v>
      </c>
      <c r="AQ80" t="s">
        <v>2166</v>
      </c>
      <c r="AR80" t="s">
        <v>2012</v>
      </c>
      <c r="AS80">
        <v>0</v>
      </c>
      <c r="AU80" t="s">
        <v>2366</v>
      </c>
      <c r="AV80" t="s">
        <v>2367</v>
      </c>
      <c r="AW80" t="s">
        <v>2368</v>
      </c>
      <c r="AX80" t="s">
        <v>2369</v>
      </c>
    </row>
    <row r="81" spans="1:50" ht="18.75" customHeight="1">
      <c r="A81" s="591">
        <v>74</v>
      </c>
      <c r="B81" s="591" t="str">
        <f t="shared" si="2"/>
        <v>3</v>
      </c>
      <c r="D81" s="592" t="str">
        <f t="shared" si="3"/>
        <v/>
      </c>
      <c r="E81" t="s">
        <v>1316</v>
      </c>
      <c r="F81" t="s">
        <v>2346</v>
      </c>
      <c r="G81" t="s">
        <v>1378</v>
      </c>
      <c r="H81" t="s">
        <v>1379</v>
      </c>
      <c r="I81" t="s">
        <v>1973</v>
      </c>
      <c r="J81">
        <v>1475</v>
      </c>
      <c r="K81">
        <v>0</v>
      </c>
      <c r="L81">
        <v>200</v>
      </c>
      <c r="M81">
        <v>400</v>
      </c>
      <c r="N81">
        <v>400</v>
      </c>
      <c r="O81">
        <v>200</v>
      </c>
      <c r="P81">
        <v>275</v>
      </c>
      <c r="Q81">
        <v>0</v>
      </c>
      <c r="R81" t="s">
        <v>129</v>
      </c>
      <c r="S81" t="s">
        <v>129</v>
      </c>
      <c r="T81" t="s">
        <v>129</v>
      </c>
      <c r="U81" t="s">
        <v>129</v>
      </c>
      <c r="V81" t="s">
        <v>129</v>
      </c>
      <c r="W81" t="s">
        <v>129</v>
      </c>
      <c r="X81" t="s">
        <v>129</v>
      </c>
      <c r="Y81" t="s">
        <v>2354</v>
      </c>
      <c r="Z81" t="s">
        <v>2355</v>
      </c>
      <c r="AA81" t="s">
        <v>129</v>
      </c>
      <c r="AB81" t="s">
        <v>129</v>
      </c>
      <c r="AC81" t="s">
        <v>129</v>
      </c>
      <c r="AD81" t="s">
        <v>2337</v>
      </c>
      <c r="AE81" t="s">
        <v>1967</v>
      </c>
      <c r="AG81" t="s">
        <v>2340</v>
      </c>
      <c r="AH81" t="s">
        <v>2341</v>
      </c>
      <c r="AI81" t="s">
        <v>1316</v>
      </c>
      <c r="AJ81" t="s">
        <v>2359</v>
      </c>
      <c r="AK81" t="s">
        <v>2370</v>
      </c>
      <c r="AL81" t="s">
        <v>2371</v>
      </c>
      <c r="AM81">
        <v>0</v>
      </c>
      <c r="AN81">
        <v>0</v>
      </c>
      <c r="AO81" t="s">
        <v>2372</v>
      </c>
      <c r="AP81" t="s">
        <v>2343</v>
      </c>
      <c r="AQ81" t="s">
        <v>2166</v>
      </c>
      <c r="AR81" t="s">
        <v>2012</v>
      </c>
      <c r="AS81">
        <v>0</v>
      </c>
      <c r="AU81" t="s">
        <v>2373</v>
      </c>
      <c r="AV81" t="s">
        <v>2374</v>
      </c>
      <c r="AW81" t="s">
        <v>2375</v>
      </c>
      <c r="AX81" t="s">
        <v>2376</v>
      </c>
    </row>
    <row r="82" spans="1:50" ht="18.75" customHeight="1">
      <c r="A82" s="591">
        <v>75</v>
      </c>
      <c r="B82" s="591" t="str">
        <f t="shared" si="2"/>
        <v>3</v>
      </c>
      <c r="D82" s="592" t="str">
        <f t="shared" si="3"/>
        <v/>
      </c>
      <c r="E82" t="s">
        <v>1316</v>
      </c>
      <c r="F82" t="s">
        <v>2346</v>
      </c>
      <c r="G82" t="s">
        <v>1390</v>
      </c>
      <c r="H82" t="s">
        <v>1391</v>
      </c>
      <c r="I82" t="s">
        <v>1928</v>
      </c>
      <c r="J82">
        <v>1500</v>
      </c>
      <c r="K82">
        <v>0</v>
      </c>
      <c r="L82">
        <v>500</v>
      </c>
      <c r="M82">
        <v>700</v>
      </c>
      <c r="N82">
        <v>300</v>
      </c>
      <c r="O82">
        <v>0</v>
      </c>
      <c r="P82">
        <v>0</v>
      </c>
      <c r="Q82">
        <v>0</v>
      </c>
      <c r="R82" t="s">
        <v>129</v>
      </c>
      <c r="S82" t="s">
        <v>129</v>
      </c>
      <c r="T82" t="s">
        <v>129</v>
      </c>
      <c r="U82" t="s">
        <v>129</v>
      </c>
      <c r="V82" t="s">
        <v>129</v>
      </c>
      <c r="W82" t="s">
        <v>129</v>
      </c>
      <c r="X82" t="s">
        <v>129</v>
      </c>
      <c r="Y82" t="s">
        <v>2356</v>
      </c>
      <c r="Z82" t="s">
        <v>2357</v>
      </c>
      <c r="AA82" t="s">
        <v>129</v>
      </c>
      <c r="AB82" t="s">
        <v>129</v>
      </c>
      <c r="AC82" t="s">
        <v>129</v>
      </c>
      <c r="AD82" t="s">
        <v>2358</v>
      </c>
      <c r="AE82" t="s">
        <v>1967</v>
      </c>
      <c r="AG82" t="s">
        <v>2340</v>
      </c>
      <c r="AH82" t="s">
        <v>2341</v>
      </c>
      <c r="AI82" t="s">
        <v>1316</v>
      </c>
      <c r="AJ82" t="s">
        <v>2359</v>
      </c>
      <c r="AK82" t="s">
        <v>2370</v>
      </c>
      <c r="AL82" t="s">
        <v>2371</v>
      </c>
      <c r="AM82">
        <v>0</v>
      </c>
      <c r="AN82">
        <v>0</v>
      </c>
      <c r="AO82" t="s">
        <v>2372</v>
      </c>
      <c r="AP82" t="s">
        <v>2343</v>
      </c>
      <c r="AQ82" t="s">
        <v>2166</v>
      </c>
      <c r="AR82" t="s">
        <v>2012</v>
      </c>
      <c r="AS82">
        <v>0</v>
      </c>
      <c r="AU82" t="s">
        <v>2373</v>
      </c>
      <c r="AV82" t="s">
        <v>2374</v>
      </c>
      <c r="AW82" t="s">
        <v>2375</v>
      </c>
      <c r="AX82" t="s">
        <v>2376</v>
      </c>
    </row>
    <row r="83" spans="1:50" ht="18.75" customHeight="1">
      <c r="A83" s="591">
        <v>76</v>
      </c>
      <c r="B83" s="591" t="str">
        <f t="shared" si="2"/>
        <v>3</v>
      </c>
      <c r="D83" s="592" t="str">
        <f t="shared" si="3"/>
        <v>3.3 Modernizace služeb zaměstnanosti a rozvoj trhu práce</v>
      </c>
      <c r="E83" t="s">
        <v>1403</v>
      </c>
      <c r="G83" t="s">
        <v>2378</v>
      </c>
      <c r="I83" t="s">
        <v>1973</v>
      </c>
      <c r="J83">
        <v>652.53</v>
      </c>
      <c r="K83">
        <v>1</v>
      </c>
      <c r="L83">
        <v>147.33000000000001</v>
      </c>
      <c r="M83">
        <v>180.89999999999998</v>
      </c>
      <c r="N83">
        <v>192.6</v>
      </c>
      <c r="O83">
        <v>96.8</v>
      </c>
      <c r="P83">
        <v>33.9</v>
      </c>
      <c r="Q83">
        <v>0</v>
      </c>
      <c r="AD83" t="s">
        <v>2379</v>
      </c>
      <c r="AG83" t="s">
        <v>2340</v>
      </c>
      <c r="AH83" t="s">
        <v>2380</v>
      </c>
      <c r="AI83" t="s">
        <v>1403</v>
      </c>
      <c r="AJ83" t="s">
        <v>2381</v>
      </c>
      <c r="AK83" t="s">
        <v>2382</v>
      </c>
      <c r="AM83">
        <v>0.2</v>
      </c>
      <c r="AN83">
        <v>0.2</v>
      </c>
      <c r="AO83" t="s">
        <v>2383</v>
      </c>
      <c r="AQ83" t="s">
        <v>2052</v>
      </c>
      <c r="AR83" t="s">
        <v>2052</v>
      </c>
      <c r="AS83">
        <v>0.7</v>
      </c>
      <c r="AT83" t="s">
        <v>2384</v>
      </c>
      <c r="AU83" t="s">
        <v>2052</v>
      </c>
      <c r="AV83" t="s">
        <v>2052</v>
      </c>
      <c r="AW83" t="s">
        <v>2052</v>
      </c>
      <c r="AX83" t="s">
        <v>2052</v>
      </c>
    </row>
    <row r="84" spans="1:50" ht="18.75" customHeight="1">
      <c r="A84" s="591">
        <v>77</v>
      </c>
      <c r="B84" s="591" t="str">
        <f t="shared" si="2"/>
        <v>3</v>
      </c>
      <c r="D84" s="592" t="str">
        <f t="shared" si="3"/>
        <v/>
      </c>
      <c r="E84" t="s">
        <v>1403</v>
      </c>
      <c r="G84" t="s">
        <v>1454</v>
      </c>
      <c r="J84">
        <v>4701</v>
      </c>
      <c r="K84">
        <v>0</v>
      </c>
      <c r="L84">
        <v>0</v>
      </c>
      <c r="M84">
        <v>0</v>
      </c>
      <c r="N84">
        <v>490</v>
      </c>
      <c r="O84">
        <v>1223.5</v>
      </c>
      <c r="P84">
        <v>2987.5</v>
      </c>
      <c r="Q84">
        <v>0</v>
      </c>
      <c r="Y84" t="s">
        <v>2386</v>
      </c>
      <c r="AA84" t="s">
        <v>2387</v>
      </c>
      <c r="AB84" t="s">
        <v>1967</v>
      </c>
      <c r="AC84" t="s">
        <v>1967</v>
      </c>
      <c r="AD84" t="s">
        <v>2388</v>
      </c>
      <c r="AE84" t="s">
        <v>2389</v>
      </c>
      <c r="AG84" t="s">
        <v>2340</v>
      </c>
      <c r="AH84" t="s">
        <v>2380</v>
      </c>
      <c r="AI84" t="s">
        <v>1403</v>
      </c>
      <c r="AJ84" t="s">
        <v>2381</v>
      </c>
      <c r="AK84" t="s">
        <v>1454</v>
      </c>
      <c r="AM84">
        <v>0</v>
      </c>
      <c r="AN84">
        <v>0</v>
      </c>
      <c r="AO84">
        <v>106</v>
      </c>
      <c r="AP84">
        <v>106</v>
      </c>
      <c r="AQ84" t="s">
        <v>2390</v>
      </c>
      <c r="AR84" t="s">
        <v>2390</v>
      </c>
      <c r="AS84">
        <v>0</v>
      </c>
      <c r="AU84" t="s">
        <v>2390</v>
      </c>
      <c r="AV84" t="s">
        <v>2390</v>
      </c>
      <c r="AW84" t="s">
        <v>2390</v>
      </c>
      <c r="AX84" t="s">
        <v>2390</v>
      </c>
    </row>
    <row r="85" spans="1:50" ht="18.75" customHeight="1">
      <c r="A85" s="591">
        <v>78</v>
      </c>
      <c r="B85" s="591" t="str">
        <f t="shared" si="2"/>
        <v>3</v>
      </c>
      <c r="D85" s="592" t="str">
        <f t="shared" si="3"/>
        <v/>
      </c>
      <c r="E85" t="s">
        <v>1403</v>
      </c>
      <c r="F85" t="s">
        <v>1403</v>
      </c>
      <c r="G85" t="s">
        <v>2391</v>
      </c>
      <c r="H85" t="s">
        <v>2392</v>
      </c>
      <c r="I85" t="s">
        <v>2144</v>
      </c>
      <c r="J85">
        <v>7000</v>
      </c>
      <c r="K85">
        <v>0</v>
      </c>
      <c r="L85">
        <v>0</v>
      </c>
      <c r="M85">
        <v>400</v>
      </c>
      <c r="N85">
        <v>1000</v>
      </c>
      <c r="O85">
        <v>2328</v>
      </c>
      <c r="P85">
        <v>3272</v>
      </c>
      <c r="Q85">
        <v>0</v>
      </c>
      <c r="R85" t="s">
        <v>2394</v>
      </c>
      <c r="S85" t="s">
        <v>2395</v>
      </c>
      <c r="T85" t="s">
        <v>2396</v>
      </c>
      <c r="W85" t="s">
        <v>2397</v>
      </c>
      <c r="X85" t="s">
        <v>2398</v>
      </c>
      <c r="Y85" t="s">
        <v>2399</v>
      </c>
      <c r="Z85" t="s">
        <v>2400</v>
      </c>
      <c r="AA85" t="s">
        <v>2401</v>
      </c>
      <c r="AB85" t="s">
        <v>2402</v>
      </c>
      <c r="AC85" t="s">
        <v>2403</v>
      </c>
      <c r="AD85" t="s">
        <v>2404</v>
      </c>
      <c r="AE85" t="s">
        <v>2405</v>
      </c>
      <c r="AG85" t="s">
        <v>2340</v>
      </c>
      <c r="AH85" t="s">
        <v>2380</v>
      </c>
      <c r="AI85" t="s">
        <v>1403</v>
      </c>
      <c r="AJ85" t="s">
        <v>2381</v>
      </c>
      <c r="AK85" t="s">
        <v>2406</v>
      </c>
      <c r="AL85" t="s">
        <v>2407</v>
      </c>
      <c r="AM85">
        <v>0</v>
      </c>
      <c r="AN85">
        <v>0</v>
      </c>
      <c r="AO85">
        <v>108</v>
      </c>
      <c r="AP85">
        <v>108</v>
      </c>
      <c r="AQ85" t="s">
        <v>2390</v>
      </c>
      <c r="AR85" t="s">
        <v>2390</v>
      </c>
      <c r="AS85">
        <v>1</v>
      </c>
      <c r="AT85" t="s">
        <v>2408</v>
      </c>
      <c r="AU85" t="s">
        <v>2390</v>
      </c>
      <c r="AV85" t="s">
        <v>2390</v>
      </c>
      <c r="AW85" t="s">
        <v>2052</v>
      </c>
      <c r="AX85" t="s">
        <v>2052</v>
      </c>
    </row>
    <row r="86" spans="1:50" ht="18.75" customHeight="1">
      <c r="A86" s="591">
        <v>79</v>
      </c>
      <c r="B86" s="591" t="str">
        <f t="shared" si="2"/>
        <v>3</v>
      </c>
      <c r="D86" s="592" t="str">
        <f t="shared" si="3"/>
        <v/>
      </c>
      <c r="E86" t="s">
        <v>1403</v>
      </c>
      <c r="AA86" t="s">
        <v>56</v>
      </c>
      <c r="AB86" t="s">
        <v>56</v>
      </c>
      <c r="AC86" t="s">
        <v>56</v>
      </c>
      <c r="AD86" t="s">
        <v>56</v>
      </c>
      <c r="AE86" t="s">
        <v>56</v>
      </c>
      <c r="AI86" t="s">
        <v>1403</v>
      </c>
      <c r="AJ86" t="s">
        <v>2381</v>
      </c>
      <c r="AK86" t="s">
        <v>2406</v>
      </c>
      <c r="AL86" t="s">
        <v>2407</v>
      </c>
      <c r="AM86">
        <v>0</v>
      </c>
      <c r="AN86">
        <v>0</v>
      </c>
      <c r="AO86">
        <v>109</v>
      </c>
      <c r="AP86">
        <v>109</v>
      </c>
      <c r="AQ86" t="s">
        <v>2390</v>
      </c>
      <c r="AR86" t="s">
        <v>2390</v>
      </c>
      <c r="AS86">
        <v>0.4</v>
      </c>
      <c r="AT86" t="s">
        <v>2409</v>
      </c>
      <c r="AU86" t="s">
        <v>2390</v>
      </c>
      <c r="AV86" t="s">
        <v>2390</v>
      </c>
      <c r="AW86" t="s">
        <v>2052</v>
      </c>
      <c r="AX86" t="s">
        <v>2052</v>
      </c>
    </row>
    <row r="87" spans="1:50" ht="18.75" customHeight="1">
      <c r="A87" s="591">
        <v>80</v>
      </c>
      <c r="B87" s="591" t="str">
        <f t="shared" si="2"/>
        <v>4</v>
      </c>
      <c r="D87" s="592" t="str">
        <f t="shared" si="3"/>
        <v>4.1 SYSTEMATICKÁ PODPORA VEŘEJNÝCH INVESTIC</v>
      </c>
      <c r="E87" t="s">
        <v>2413</v>
      </c>
      <c r="F87" t="s">
        <v>2414</v>
      </c>
      <c r="G87" t="s">
        <v>1535</v>
      </c>
      <c r="H87" t="s">
        <v>1900</v>
      </c>
      <c r="I87" t="s">
        <v>2102</v>
      </c>
      <c r="J87">
        <v>2378.482</v>
      </c>
      <c r="K87">
        <v>0</v>
      </c>
      <c r="L87">
        <v>504.33799999999997</v>
      </c>
      <c r="M87">
        <v>863.36200000000008</v>
      </c>
      <c r="N87">
        <v>1010.782</v>
      </c>
      <c r="O87">
        <v>0</v>
      </c>
      <c r="P87">
        <v>0</v>
      </c>
      <c r="Q87">
        <v>0</v>
      </c>
      <c r="R87" t="s">
        <v>28</v>
      </c>
      <c r="S87" t="s">
        <v>2288</v>
      </c>
      <c r="T87" t="s">
        <v>2289</v>
      </c>
      <c r="U87" t="s">
        <v>2288</v>
      </c>
      <c r="V87" t="s">
        <v>2289</v>
      </c>
      <c r="W87" t="s">
        <v>2288</v>
      </c>
      <c r="X87" t="s">
        <v>2289</v>
      </c>
      <c r="Y87" t="s">
        <v>2410</v>
      </c>
      <c r="Z87" t="s">
        <v>2292</v>
      </c>
      <c r="AA87" t="s">
        <v>2294</v>
      </c>
      <c r="AB87" t="s">
        <v>2294</v>
      </c>
      <c r="AC87" t="s">
        <v>2294</v>
      </c>
      <c r="AD87" t="s">
        <v>2411</v>
      </c>
      <c r="AE87">
        <v>0</v>
      </c>
      <c r="AG87" t="s">
        <v>2323</v>
      </c>
      <c r="AH87" t="s">
        <v>2324</v>
      </c>
      <c r="AI87" t="s">
        <v>2413</v>
      </c>
      <c r="AJ87" t="s">
        <v>2414</v>
      </c>
      <c r="AK87" t="s">
        <v>1535</v>
      </c>
      <c r="AL87" t="s">
        <v>1900</v>
      </c>
      <c r="AM87">
        <v>1</v>
      </c>
      <c r="AN87">
        <v>0.4</v>
      </c>
      <c r="AP87">
        <v>46</v>
      </c>
      <c r="AQ87" t="s">
        <v>1039</v>
      </c>
      <c r="AR87" t="s">
        <v>1040</v>
      </c>
      <c r="AS87">
        <v>0.45</v>
      </c>
    </row>
    <row r="88" spans="1:50" ht="18.75" customHeight="1">
      <c r="A88" s="591">
        <v>81</v>
      </c>
      <c r="B88" s="591" t="str">
        <f t="shared" si="2"/>
        <v>4</v>
      </c>
      <c r="D88" s="592" t="str">
        <f t="shared" si="3"/>
        <v/>
      </c>
      <c r="E88" t="s">
        <v>2413</v>
      </c>
      <c r="F88" t="s">
        <v>2414</v>
      </c>
      <c r="G88" t="s">
        <v>1898</v>
      </c>
      <c r="H88" t="s">
        <v>1899</v>
      </c>
      <c r="I88" t="s">
        <v>1973</v>
      </c>
      <c r="J88">
        <v>112</v>
      </c>
      <c r="K88">
        <v>0</v>
      </c>
      <c r="L88">
        <v>81</v>
      </c>
      <c r="M88">
        <v>15</v>
      </c>
      <c r="N88">
        <v>16</v>
      </c>
      <c r="O88">
        <v>0</v>
      </c>
      <c r="P88">
        <v>0</v>
      </c>
      <c r="Q88">
        <v>0</v>
      </c>
      <c r="R88" t="s">
        <v>28</v>
      </c>
      <c r="S88" t="s">
        <v>2288</v>
      </c>
      <c r="T88" t="s">
        <v>2289</v>
      </c>
      <c r="U88" t="s">
        <v>2288</v>
      </c>
      <c r="V88" t="s">
        <v>2289</v>
      </c>
      <c r="W88" t="s">
        <v>2288</v>
      </c>
      <c r="X88" t="s">
        <v>2289</v>
      </c>
      <c r="Y88" t="s">
        <v>2412</v>
      </c>
      <c r="Z88" t="s">
        <v>2292</v>
      </c>
      <c r="AA88" t="s">
        <v>2294</v>
      </c>
      <c r="AB88" t="s">
        <v>2294</v>
      </c>
      <c r="AC88" t="s">
        <v>2294</v>
      </c>
      <c r="AD88" t="s">
        <v>2411</v>
      </c>
      <c r="AE88">
        <v>0</v>
      </c>
      <c r="AG88" t="s">
        <v>2323</v>
      </c>
      <c r="AH88" t="s">
        <v>2324</v>
      </c>
      <c r="AI88" t="s">
        <v>2413</v>
      </c>
      <c r="AJ88" t="s">
        <v>2414</v>
      </c>
      <c r="AK88" t="s">
        <v>1898</v>
      </c>
      <c r="AL88" t="s">
        <v>1899</v>
      </c>
      <c r="AM88">
        <v>0.94</v>
      </c>
      <c r="AN88">
        <v>0.73</v>
      </c>
      <c r="AP88">
        <v>46</v>
      </c>
      <c r="AQ88" t="s">
        <v>1039</v>
      </c>
      <c r="AR88" t="s">
        <v>1040</v>
      </c>
      <c r="AS88">
        <v>1</v>
      </c>
      <c r="AU88" t="s">
        <v>28</v>
      </c>
    </row>
    <row r="89" spans="1:50" ht="18.75" customHeight="1">
      <c r="A89" s="591">
        <v>82</v>
      </c>
      <c r="B89" s="591" t="str">
        <f t="shared" si="2"/>
        <v>4</v>
      </c>
      <c r="D89" s="592" t="str">
        <f t="shared" si="3"/>
        <v>4.2 Podpora investic v průmyslu a podnikání</v>
      </c>
      <c r="E89" t="s">
        <v>1885</v>
      </c>
      <c r="F89">
        <v>0</v>
      </c>
      <c r="G89" t="s">
        <v>1560</v>
      </c>
      <c r="H89">
        <v>0</v>
      </c>
      <c r="I89" t="s">
        <v>2008</v>
      </c>
      <c r="J89">
        <v>4000</v>
      </c>
      <c r="K89">
        <v>0</v>
      </c>
      <c r="L89">
        <v>0</v>
      </c>
      <c r="M89">
        <v>1500</v>
      </c>
      <c r="N89">
        <v>1500</v>
      </c>
      <c r="O89">
        <v>500</v>
      </c>
      <c r="P89">
        <v>500</v>
      </c>
      <c r="Q89">
        <v>0</v>
      </c>
      <c r="AA89" t="s">
        <v>2418</v>
      </c>
      <c r="AB89" t="s">
        <v>2419</v>
      </c>
      <c r="AC89" t="s">
        <v>2420</v>
      </c>
      <c r="AD89" t="s">
        <v>2421</v>
      </c>
      <c r="AE89" t="s">
        <v>2422</v>
      </c>
      <c r="AG89" t="s">
        <v>2423</v>
      </c>
      <c r="AI89" t="s">
        <v>1885</v>
      </c>
      <c r="AK89" t="s">
        <v>1560</v>
      </c>
    </row>
    <row r="90" spans="1:50" ht="18.75" customHeight="1">
      <c r="A90" s="591">
        <v>83</v>
      </c>
      <c r="B90" s="591" t="str">
        <f t="shared" si="2"/>
        <v>4</v>
      </c>
      <c r="D90" s="592" t="str">
        <f t="shared" si="3"/>
        <v>4.3 Protikorupční opatření</v>
      </c>
      <c r="E90" t="s">
        <v>2485</v>
      </c>
      <c r="F90" t="s">
        <v>2426</v>
      </c>
      <c r="G90" t="s">
        <v>1587</v>
      </c>
      <c r="H90" t="s">
        <v>1588</v>
      </c>
      <c r="I90" t="s">
        <v>1973</v>
      </c>
      <c r="J90">
        <v>0</v>
      </c>
      <c r="K90">
        <v>0</v>
      </c>
      <c r="L90">
        <v>0</v>
      </c>
      <c r="M90">
        <v>0</v>
      </c>
      <c r="N90">
        <v>0</v>
      </c>
      <c r="O90">
        <v>0</v>
      </c>
      <c r="P90">
        <v>0</v>
      </c>
      <c r="Q90">
        <v>0</v>
      </c>
      <c r="R90" t="s">
        <v>28</v>
      </c>
      <c r="S90" t="s">
        <v>28</v>
      </c>
      <c r="T90" t="s">
        <v>28</v>
      </c>
      <c r="U90" t="s">
        <v>2427</v>
      </c>
      <c r="V90" t="s">
        <v>2428</v>
      </c>
      <c r="W90" t="s">
        <v>2429</v>
      </c>
      <c r="X90" t="s">
        <v>2430</v>
      </c>
      <c r="Y90" t="s">
        <v>2431</v>
      </c>
      <c r="Z90" t="s">
        <v>2431</v>
      </c>
      <c r="AA90" t="s">
        <v>2094</v>
      </c>
      <c r="AB90" t="s">
        <v>2094</v>
      </c>
      <c r="AC90" t="s">
        <v>2094</v>
      </c>
      <c r="AG90" t="s">
        <v>2438</v>
      </c>
      <c r="AH90" t="s">
        <v>2439</v>
      </c>
      <c r="AI90" t="s">
        <v>2425</v>
      </c>
      <c r="AJ90" t="s">
        <v>2426</v>
      </c>
      <c r="AK90" t="s">
        <v>1587</v>
      </c>
      <c r="AL90" t="s">
        <v>1588</v>
      </c>
      <c r="AM90">
        <v>0</v>
      </c>
      <c r="AN90">
        <v>0</v>
      </c>
      <c r="AO90">
        <v>135</v>
      </c>
      <c r="AP90">
        <v>135</v>
      </c>
      <c r="AQ90" t="s">
        <v>1039</v>
      </c>
      <c r="AR90" t="s">
        <v>1040</v>
      </c>
      <c r="AS90">
        <v>0</v>
      </c>
      <c r="AU90" t="s">
        <v>1168</v>
      </c>
      <c r="AV90" t="s">
        <v>1168</v>
      </c>
      <c r="AW90" t="s">
        <v>1168</v>
      </c>
      <c r="AX90" t="s">
        <v>1168</v>
      </c>
    </row>
    <row r="91" spans="1:50" ht="18.75" customHeight="1">
      <c r="A91" s="591">
        <v>84</v>
      </c>
      <c r="B91" s="591" t="str">
        <f t="shared" si="2"/>
        <v>4</v>
      </c>
      <c r="D91" s="592" t="str">
        <f t="shared" si="3"/>
        <v/>
      </c>
      <c r="E91" t="s">
        <v>2485</v>
      </c>
      <c r="F91" t="s">
        <v>2426</v>
      </c>
      <c r="G91" t="s">
        <v>1658</v>
      </c>
      <c r="H91" t="s">
        <v>1659</v>
      </c>
      <c r="I91" t="s">
        <v>1973</v>
      </c>
      <c r="J91">
        <v>0</v>
      </c>
      <c r="K91">
        <v>0</v>
      </c>
      <c r="L91">
        <v>0</v>
      </c>
      <c r="M91">
        <v>0</v>
      </c>
      <c r="N91">
        <v>0</v>
      </c>
      <c r="O91">
        <v>0</v>
      </c>
      <c r="P91">
        <v>0</v>
      </c>
      <c r="Q91">
        <v>0</v>
      </c>
      <c r="R91" t="s">
        <v>28</v>
      </c>
      <c r="S91" t="s">
        <v>28</v>
      </c>
      <c r="T91" t="s">
        <v>28</v>
      </c>
      <c r="U91" t="s">
        <v>2432</v>
      </c>
      <c r="V91" t="s">
        <v>2433</v>
      </c>
      <c r="W91" t="s">
        <v>28</v>
      </c>
      <c r="X91" t="s">
        <v>28</v>
      </c>
      <c r="Y91" t="s">
        <v>2434</v>
      </c>
      <c r="Z91" t="s">
        <v>2434</v>
      </c>
      <c r="AA91" t="s">
        <v>2094</v>
      </c>
      <c r="AB91" t="s">
        <v>2094</v>
      </c>
      <c r="AC91" t="s">
        <v>2094</v>
      </c>
      <c r="AG91" t="s">
        <v>2438</v>
      </c>
      <c r="AH91" t="s">
        <v>2439</v>
      </c>
      <c r="AI91" t="s">
        <v>2425</v>
      </c>
      <c r="AJ91" t="s">
        <v>2426</v>
      </c>
      <c r="AK91" t="s">
        <v>1658</v>
      </c>
      <c r="AL91" t="s">
        <v>1659</v>
      </c>
      <c r="AM91">
        <v>0</v>
      </c>
      <c r="AN91">
        <v>0</v>
      </c>
      <c r="AO91">
        <v>135</v>
      </c>
      <c r="AP91">
        <v>135</v>
      </c>
      <c r="AQ91" t="s">
        <v>1039</v>
      </c>
      <c r="AR91" t="s">
        <v>1040</v>
      </c>
      <c r="AS91">
        <v>0</v>
      </c>
      <c r="AU91" t="s">
        <v>1168</v>
      </c>
      <c r="AV91" t="s">
        <v>1168</v>
      </c>
      <c r="AW91" t="s">
        <v>1168</v>
      </c>
      <c r="AX91" t="s">
        <v>1168</v>
      </c>
    </row>
    <row r="92" spans="1:50" ht="18.75" customHeight="1">
      <c r="A92" s="591">
        <v>85</v>
      </c>
      <c r="B92" s="591" t="str">
        <f t="shared" si="2"/>
        <v>4</v>
      </c>
      <c r="D92" s="592" t="str">
        <f t="shared" si="3"/>
        <v/>
      </c>
      <c r="E92" t="s">
        <v>2485</v>
      </c>
      <c r="F92" t="s">
        <v>2426</v>
      </c>
      <c r="G92" t="s">
        <v>1691</v>
      </c>
      <c r="H92" t="s">
        <v>1692</v>
      </c>
      <c r="I92" t="s">
        <v>2102</v>
      </c>
      <c r="J92">
        <v>0</v>
      </c>
      <c r="K92">
        <v>0</v>
      </c>
      <c r="L92">
        <v>0</v>
      </c>
      <c r="M92">
        <v>0</v>
      </c>
      <c r="N92">
        <v>0</v>
      </c>
      <c r="O92">
        <v>0</v>
      </c>
      <c r="P92">
        <v>0</v>
      </c>
      <c r="Q92">
        <v>0</v>
      </c>
      <c r="R92" t="s">
        <v>28</v>
      </c>
      <c r="S92" t="s">
        <v>28</v>
      </c>
      <c r="T92" t="s">
        <v>28</v>
      </c>
      <c r="U92" t="s">
        <v>2435</v>
      </c>
      <c r="V92" t="s">
        <v>2436</v>
      </c>
      <c r="W92" t="s">
        <v>28</v>
      </c>
      <c r="X92" t="s">
        <v>28</v>
      </c>
      <c r="Y92" t="s">
        <v>2437</v>
      </c>
      <c r="Z92" t="s">
        <v>2437</v>
      </c>
      <c r="AA92" t="s">
        <v>2094</v>
      </c>
      <c r="AB92" t="s">
        <v>2094</v>
      </c>
      <c r="AC92" t="s">
        <v>2094</v>
      </c>
      <c r="AG92" t="s">
        <v>2438</v>
      </c>
      <c r="AH92" t="s">
        <v>2439</v>
      </c>
      <c r="AI92" t="s">
        <v>2425</v>
      </c>
      <c r="AJ92" t="s">
        <v>2426</v>
      </c>
      <c r="AK92" t="s">
        <v>1691</v>
      </c>
      <c r="AL92" t="s">
        <v>1692</v>
      </c>
      <c r="AM92">
        <v>0</v>
      </c>
      <c r="AN92">
        <v>0</v>
      </c>
      <c r="AO92">
        <v>135</v>
      </c>
      <c r="AP92">
        <v>135</v>
      </c>
      <c r="AQ92" t="s">
        <v>1039</v>
      </c>
      <c r="AR92" t="s">
        <v>1040</v>
      </c>
      <c r="AS92">
        <v>0</v>
      </c>
      <c r="AU92" t="s">
        <v>1168</v>
      </c>
      <c r="AV92" t="s">
        <v>1168</v>
      </c>
      <c r="AW92" t="s">
        <v>1168</v>
      </c>
      <c r="AX92" t="s">
        <v>1168</v>
      </c>
    </row>
    <row r="93" spans="1:50" ht="18.75" customHeight="1">
      <c r="A93" s="591">
        <v>86</v>
      </c>
      <c r="B93" s="591" t="str">
        <f t="shared" si="2"/>
        <v>5</v>
      </c>
      <c r="D93" s="592" t="str">
        <f t="shared" si="3"/>
        <v>5.1 Excelentní výzkum a vývoj v prioritních oblastech veřejného zájmu ve zdravotnictví</v>
      </c>
      <c r="E93" t="s">
        <v>1718</v>
      </c>
      <c r="F93" t="s">
        <v>2440</v>
      </c>
      <c r="G93" t="s">
        <v>1719</v>
      </c>
      <c r="H93" t="s">
        <v>1720</v>
      </c>
      <c r="I93" t="s">
        <v>2144</v>
      </c>
      <c r="J93">
        <v>5000</v>
      </c>
      <c r="K93">
        <v>0</v>
      </c>
      <c r="L93">
        <v>0</v>
      </c>
      <c r="M93">
        <v>1000</v>
      </c>
      <c r="N93">
        <v>1250</v>
      </c>
      <c r="O93">
        <v>1100</v>
      </c>
      <c r="P93">
        <v>900</v>
      </c>
      <c r="Q93">
        <v>750</v>
      </c>
      <c r="R93" t="s">
        <v>129</v>
      </c>
      <c r="S93" t="s">
        <v>129</v>
      </c>
      <c r="T93" t="s">
        <v>129</v>
      </c>
      <c r="U93" t="s">
        <v>129</v>
      </c>
      <c r="V93" t="s">
        <v>129</v>
      </c>
      <c r="W93" t="s">
        <v>129</v>
      </c>
      <c r="X93" t="s">
        <v>129</v>
      </c>
      <c r="Y93" t="s">
        <v>2441</v>
      </c>
      <c r="Z93" t="s">
        <v>2442</v>
      </c>
      <c r="AA93" t="s">
        <v>1934</v>
      </c>
      <c r="AB93" t="s">
        <v>2443</v>
      </c>
      <c r="AC93" t="s">
        <v>1934</v>
      </c>
      <c r="AD93" t="s">
        <v>2444</v>
      </c>
      <c r="AE93" t="s">
        <v>2445</v>
      </c>
      <c r="AG93" t="s">
        <v>2446</v>
      </c>
      <c r="AH93" t="s">
        <v>2447</v>
      </c>
      <c r="AI93" t="s">
        <v>1718</v>
      </c>
      <c r="AJ93" t="s">
        <v>2440</v>
      </c>
      <c r="AK93" t="s">
        <v>1719</v>
      </c>
      <c r="AL93" t="s">
        <v>1720</v>
      </c>
      <c r="AM93">
        <v>0</v>
      </c>
      <c r="AN93">
        <v>0</v>
      </c>
      <c r="AO93" t="s">
        <v>2450</v>
      </c>
      <c r="AP93" t="s">
        <v>2451</v>
      </c>
      <c r="AQ93" t="s">
        <v>2166</v>
      </c>
      <c r="AR93" t="s">
        <v>2012</v>
      </c>
      <c r="AS93">
        <v>0</v>
      </c>
      <c r="AU93">
        <v>0</v>
      </c>
      <c r="AV93">
        <v>0</v>
      </c>
      <c r="AW93" t="s">
        <v>2448</v>
      </c>
      <c r="AX93" t="s">
        <v>2449</v>
      </c>
    </row>
    <row r="94" spans="1:50" ht="18.75" customHeight="1">
      <c r="A94" s="591">
        <v>87</v>
      </c>
      <c r="B94" s="591" t="str">
        <f t="shared" si="2"/>
        <v>5</v>
      </c>
      <c r="D94" s="592" t="str">
        <f t="shared" si="3"/>
        <v>5.2 Podpora výzkumu a vývoje v podnicích a zavádění inovací do podnikové praxe</v>
      </c>
      <c r="E94" t="s">
        <v>1799</v>
      </c>
      <c r="G94" t="s">
        <v>1816</v>
      </c>
      <c r="I94" t="s">
        <v>2102</v>
      </c>
      <c r="J94">
        <v>4650</v>
      </c>
      <c r="K94">
        <v>0</v>
      </c>
      <c r="L94">
        <v>600</v>
      </c>
      <c r="M94">
        <v>1020</v>
      </c>
      <c r="N94">
        <v>1360</v>
      </c>
      <c r="O94">
        <v>980</v>
      </c>
      <c r="P94">
        <v>520</v>
      </c>
      <c r="Q94">
        <v>170</v>
      </c>
      <c r="R94">
        <v>0</v>
      </c>
      <c r="S94" t="s">
        <v>28</v>
      </c>
      <c r="T94" t="s">
        <v>28</v>
      </c>
      <c r="U94">
        <v>3350</v>
      </c>
      <c r="W94" t="s">
        <v>28</v>
      </c>
      <c r="Y94" t="s">
        <v>2453</v>
      </c>
      <c r="AA94" t="s">
        <v>1934</v>
      </c>
      <c r="AB94" t="s">
        <v>2454</v>
      </c>
      <c r="AC94" t="s">
        <v>1934</v>
      </c>
      <c r="AD94" t="s">
        <v>2455</v>
      </c>
      <c r="AE94">
        <v>0.5</v>
      </c>
      <c r="AG94" t="s">
        <v>2446</v>
      </c>
      <c r="AI94" t="s">
        <v>1799</v>
      </c>
      <c r="AK94" t="s">
        <v>1816</v>
      </c>
      <c r="AM94">
        <v>0</v>
      </c>
      <c r="AN94">
        <v>0</v>
      </c>
      <c r="AO94" t="s">
        <v>2465</v>
      </c>
      <c r="AQ94" t="s">
        <v>1998</v>
      </c>
      <c r="AS94">
        <v>0.4</v>
      </c>
      <c r="AT94" t="s">
        <v>2466</v>
      </c>
      <c r="AV94" t="s">
        <v>2094</v>
      </c>
      <c r="AX94" t="s">
        <v>2467</v>
      </c>
    </row>
    <row r="95" spans="1:50" ht="18.75" customHeight="1">
      <c r="A95" s="591">
        <v>88</v>
      </c>
      <c r="B95" s="591" t="str">
        <f t="shared" si="2"/>
        <v>5</v>
      </c>
      <c r="D95" s="592" t="str">
        <f t="shared" si="3"/>
        <v/>
      </c>
      <c r="E95" t="s">
        <v>1799</v>
      </c>
      <c r="G95" t="s">
        <v>1847</v>
      </c>
      <c r="I95" t="s">
        <v>2102</v>
      </c>
      <c r="J95">
        <v>1000</v>
      </c>
      <c r="K95">
        <v>0</v>
      </c>
      <c r="L95">
        <v>80</v>
      </c>
      <c r="M95">
        <v>270</v>
      </c>
      <c r="N95">
        <v>310</v>
      </c>
      <c r="O95">
        <v>220</v>
      </c>
      <c r="P95">
        <v>100</v>
      </c>
      <c r="Q95">
        <v>20</v>
      </c>
      <c r="R95">
        <v>0</v>
      </c>
      <c r="S95" t="s">
        <v>28</v>
      </c>
      <c r="T95" t="s">
        <v>28</v>
      </c>
      <c r="U95">
        <v>800</v>
      </c>
      <c r="W95" t="s">
        <v>28</v>
      </c>
      <c r="Y95" t="s">
        <v>2453</v>
      </c>
      <c r="AA95" t="s">
        <v>1934</v>
      </c>
      <c r="AB95" t="s">
        <v>2456</v>
      </c>
      <c r="AC95" t="s">
        <v>1934</v>
      </c>
      <c r="AD95" t="s">
        <v>2455</v>
      </c>
      <c r="AE95">
        <v>1</v>
      </c>
      <c r="AG95" t="s">
        <v>2446</v>
      </c>
      <c r="AI95" t="s">
        <v>1799</v>
      </c>
      <c r="AK95" t="s">
        <v>1847</v>
      </c>
      <c r="AM95">
        <v>0</v>
      </c>
      <c r="AN95">
        <v>0</v>
      </c>
      <c r="AO95" t="s">
        <v>2073</v>
      </c>
      <c r="AQ95" t="s">
        <v>1998</v>
      </c>
      <c r="AS95">
        <v>0.4</v>
      </c>
      <c r="AT95" t="s">
        <v>2468</v>
      </c>
      <c r="AV95" t="s">
        <v>2094</v>
      </c>
      <c r="AX95" t="s">
        <v>2469</v>
      </c>
    </row>
    <row r="96" spans="1:50" ht="18.75" customHeight="1">
      <c r="A96" s="591">
        <v>89</v>
      </c>
      <c r="B96" s="591" t="str">
        <f t="shared" si="2"/>
        <v>5</v>
      </c>
      <c r="D96" s="592" t="str">
        <f t="shared" si="3"/>
        <v/>
      </c>
      <c r="E96" t="s">
        <v>1799</v>
      </c>
      <c r="G96" t="s">
        <v>1852</v>
      </c>
      <c r="I96" t="s">
        <v>2144</v>
      </c>
      <c r="J96">
        <v>1500</v>
      </c>
      <c r="K96">
        <v>0</v>
      </c>
      <c r="L96">
        <v>0</v>
      </c>
      <c r="M96">
        <v>320</v>
      </c>
      <c r="N96">
        <v>320</v>
      </c>
      <c r="O96">
        <v>320</v>
      </c>
      <c r="P96">
        <v>320</v>
      </c>
      <c r="Q96">
        <v>220</v>
      </c>
      <c r="R96">
        <v>0</v>
      </c>
      <c r="S96" t="s">
        <v>28</v>
      </c>
      <c r="T96" t="s">
        <v>28</v>
      </c>
      <c r="U96">
        <v>3750</v>
      </c>
      <c r="W96" t="s">
        <v>28</v>
      </c>
      <c r="Y96" t="s">
        <v>2453</v>
      </c>
      <c r="AA96" t="s">
        <v>1934</v>
      </c>
      <c r="AB96" t="s">
        <v>2457</v>
      </c>
      <c r="AC96" t="s">
        <v>1934</v>
      </c>
      <c r="AD96" t="s">
        <v>2458</v>
      </c>
      <c r="AE96">
        <v>0.25</v>
      </c>
      <c r="AG96" t="s">
        <v>2446</v>
      </c>
      <c r="AI96" t="s">
        <v>1799</v>
      </c>
      <c r="AK96" t="s">
        <v>1852</v>
      </c>
      <c r="AM96">
        <v>0</v>
      </c>
      <c r="AN96">
        <v>0</v>
      </c>
      <c r="AO96" t="s">
        <v>2076</v>
      </c>
      <c r="AQ96" t="s">
        <v>1998</v>
      </c>
      <c r="AS96">
        <v>0.4</v>
      </c>
      <c r="AT96" t="s">
        <v>2470</v>
      </c>
      <c r="AV96" t="s">
        <v>2094</v>
      </c>
      <c r="AX96" t="s">
        <v>2471</v>
      </c>
    </row>
    <row r="97" spans="1:50" ht="18.75" customHeight="1">
      <c r="A97" s="591">
        <v>90</v>
      </c>
      <c r="B97" s="591" t="str">
        <f t="shared" si="2"/>
        <v>5</v>
      </c>
      <c r="D97" s="592" t="str">
        <f t="shared" si="3"/>
        <v/>
      </c>
      <c r="E97" t="s">
        <v>1799</v>
      </c>
      <c r="G97" t="s">
        <v>1855</v>
      </c>
      <c r="I97" t="s">
        <v>2090</v>
      </c>
      <c r="J97">
        <v>200</v>
      </c>
      <c r="K97">
        <v>0</v>
      </c>
      <c r="L97">
        <v>0</v>
      </c>
      <c r="M97">
        <v>58</v>
      </c>
      <c r="N97">
        <v>68</v>
      </c>
      <c r="O97">
        <v>64</v>
      </c>
      <c r="P97">
        <v>10</v>
      </c>
      <c r="Q97">
        <v>0</v>
      </c>
      <c r="R97">
        <v>0</v>
      </c>
      <c r="S97" t="s">
        <v>28</v>
      </c>
      <c r="T97" t="s">
        <v>28</v>
      </c>
      <c r="U97">
        <v>422</v>
      </c>
      <c r="W97" t="s">
        <v>28</v>
      </c>
      <c r="Y97" t="s">
        <v>2453</v>
      </c>
      <c r="AA97" t="s">
        <v>1934</v>
      </c>
      <c r="AB97" t="s">
        <v>2459</v>
      </c>
      <c r="AC97" t="s">
        <v>1934</v>
      </c>
      <c r="AD97" t="s">
        <v>2460</v>
      </c>
      <c r="AE97">
        <v>0.3</v>
      </c>
      <c r="AG97" t="s">
        <v>2446</v>
      </c>
      <c r="AI97" t="s">
        <v>1799</v>
      </c>
      <c r="AK97" t="s">
        <v>1855</v>
      </c>
      <c r="AM97">
        <v>1</v>
      </c>
      <c r="AN97">
        <v>0.4</v>
      </c>
      <c r="AO97" t="s">
        <v>2472</v>
      </c>
      <c r="AQ97" t="s">
        <v>1998</v>
      </c>
      <c r="AS97">
        <v>0</v>
      </c>
      <c r="AV97" t="s">
        <v>2473</v>
      </c>
      <c r="AW97" t="s">
        <v>2094</v>
      </c>
      <c r="AX97" t="s">
        <v>2094</v>
      </c>
    </row>
    <row r="98" spans="1:50" ht="18.75" customHeight="1">
      <c r="A98" s="591">
        <v>91</v>
      </c>
      <c r="B98" s="591" t="str">
        <f t="shared" si="2"/>
        <v>5</v>
      </c>
      <c r="D98" s="592" t="str">
        <f t="shared" si="3"/>
        <v/>
      </c>
      <c r="E98" t="s">
        <v>1799</v>
      </c>
      <c r="G98" t="s">
        <v>1856</v>
      </c>
      <c r="I98" t="s">
        <v>2090</v>
      </c>
      <c r="J98">
        <v>350</v>
      </c>
      <c r="K98">
        <v>0</v>
      </c>
      <c r="L98">
        <v>0</v>
      </c>
      <c r="M98">
        <v>105</v>
      </c>
      <c r="N98">
        <v>115</v>
      </c>
      <c r="O98">
        <v>95</v>
      </c>
      <c r="P98">
        <v>35</v>
      </c>
      <c r="Q98">
        <v>0</v>
      </c>
      <c r="R98">
        <v>0</v>
      </c>
      <c r="S98" t="s">
        <v>28</v>
      </c>
      <c r="T98" t="s">
        <v>28</v>
      </c>
      <c r="U98">
        <v>1050</v>
      </c>
      <c r="W98" t="s">
        <v>28</v>
      </c>
      <c r="Y98" t="s">
        <v>2453</v>
      </c>
      <c r="AA98" t="s">
        <v>1934</v>
      </c>
      <c r="AB98" t="s">
        <v>2461</v>
      </c>
      <c r="AC98" t="s">
        <v>1934</v>
      </c>
      <c r="AD98" t="s">
        <v>2460</v>
      </c>
      <c r="AE98">
        <v>0.3</v>
      </c>
      <c r="AG98" t="s">
        <v>2446</v>
      </c>
      <c r="AI98" t="s">
        <v>1799</v>
      </c>
      <c r="AK98" t="s">
        <v>1856</v>
      </c>
      <c r="AM98">
        <v>0</v>
      </c>
      <c r="AN98">
        <v>0</v>
      </c>
      <c r="AO98" t="s">
        <v>2076</v>
      </c>
      <c r="AQ98" t="s">
        <v>1998</v>
      </c>
      <c r="AS98">
        <v>0.4</v>
      </c>
      <c r="AV98" t="s">
        <v>2094</v>
      </c>
      <c r="AX98" t="s">
        <v>2474</v>
      </c>
    </row>
    <row r="99" spans="1:50" ht="18.75" customHeight="1">
      <c r="A99" s="591">
        <v>92</v>
      </c>
      <c r="B99" s="591" t="str">
        <f t="shared" si="2"/>
        <v>5</v>
      </c>
      <c r="D99" s="592" t="str">
        <f t="shared" si="3"/>
        <v/>
      </c>
      <c r="E99" t="s">
        <v>1799</v>
      </c>
      <c r="G99" t="s">
        <v>1858</v>
      </c>
      <c r="I99" t="s">
        <v>2102</v>
      </c>
      <c r="J99">
        <v>500</v>
      </c>
      <c r="K99">
        <v>0</v>
      </c>
      <c r="L99">
        <v>30</v>
      </c>
      <c r="M99">
        <v>100</v>
      </c>
      <c r="N99">
        <v>130</v>
      </c>
      <c r="O99">
        <v>100</v>
      </c>
      <c r="P99">
        <v>80</v>
      </c>
      <c r="Q99">
        <v>60</v>
      </c>
      <c r="R99">
        <v>20</v>
      </c>
      <c r="S99" t="s">
        <v>2462</v>
      </c>
      <c r="T99" t="s">
        <v>28</v>
      </c>
      <c r="U99">
        <v>100</v>
      </c>
      <c r="W99" t="s">
        <v>2463</v>
      </c>
      <c r="Y99" t="s">
        <v>2453</v>
      </c>
      <c r="AA99" t="s">
        <v>1934</v>
      </c>
      <c r="AB99" t="s">
        <v>2464</v>
      </c>
      <c r="AC99" t="s">
        <v>1934</v>
      </c>
      <c r="AD99" t="s">
        <v>2460</v>
      </c>
      <c r="AE99">
        <v>0.3</v>
      </c>
      <c r="AG99" t="s">
        <v>2446</v>
      </c>
      <c r="AI99" t="s">
        <v>1799</v>
      </c>
      <c r="AK99" t="s">
        <v>1858</v>
      </c>
      <c r="AM99">
        <v>0</v>
      </c>
      <c r="AN99">
        <v>0</v>
      </c>
      <c r="AO99" t="s">
        <v>2076</v>
      </c>
      <c r="AQ99" t="s">
        <v>1998</v>
      </c>
      <c r="AS99">
        <v>0.4</v>
      </c>
      <c r="AV99" t="s">
        <v>2094</v>
      </c>
      <c r="AX99" t="s">
        <v>2475</v>
      </c>
    </row>
    <row r="100" spans="1:50" ht="18.75" customHeight="1">
      <c r="A100" s="591">
        <v>93</v>
      </c>
      <c r="B100" s="591" t="str">
        <f t="shared" si="2"/>
        <v>6</v>
      </c>
      <c r="D100" s="592" t="str">
        <f t="shared" si="3"/>
        <v>6.1 Zvýšení odolnosti systému zdravotní péče</v>
      </c>
      <c r="E100" t="s">
        <v>1862</v>
      </c>
      <c r="F100">
        <v>0</v>
      </c>
      <c r="G100" t="s">
        <v>1863</v>
      </c>
      <c r="H100">
        <v>0</v>
      </c>
      <c r="I100" t="s">
        <v>2476</v>
      </c>
      <c r="J100" s="535">
        <v>1800</v>
      </c>
      <c r="K100">
        <v>0</v>
      </c>
      <c r="L100">
        <v>50</v>
      </c>
      <c r="M100">
        <v>100</v>
      </c>
      <c r="N100">
        <v>100</v>
      </c>
      <c r="O100">
        <v>450</v>
      </c>
      <c r="P100">
        <v>600</v>
      </c>
      <c r="Q100">
        <v>500</v>
      </c>
      <c r="AA100" t="s">
        <v>56</v>
      </c>
      <c r="AB100" t="s">
        <v>56</v>
      </c>
      <c r="AC100" t="s">
        <v>56</v>
      </c>
      <c r="AD100" t="s">
        <v>56</v>
      </c>
      <c r="AE100" t="s">
        <v>56</v>
      </c>
      <c r="AG100" t="s">
        <v>2480</v>
      </c>
      <c r="AI100" t="s">
        <v>1862</v>
      </c>
      <c r="AK100" t="s">
        <v>1863</v>
      </c>
      <c r="AM100">
        <v>0</v>
      </c>
      <c r="AS100">
        <v>0.4</v>
      </c>
    </row>
    <row r="101" spans="1:50" ht="18.75" customHeight="1">
      <c r="A101" s="591">
        <v>94</v>
      </c>
      <c r="B101" s="591" t="str">
        <f t="shared" si="2"/>
        <v>6</v>
      </c>
      <c r="D101" s="592" t="str">
        <f t="shared" si="3"/>
        <v/>
      </c>
      <c r="E101" t="s">
        <v>1862</v>
      </c>
      <c r="F101">
        <v>0</v>
      </c>
      <c r="G101" t="s">
        <v>1870</v>
      </c>
      <c r="H101">
        <v>0</v>
      </c>
      <c r="I101" t="s">
        <v>2476</v>
      </c>
      <c r="J101" s="535">
        <v>1200</v>
      </c>
      <c r="K101">
        <v>0</v>
      </c>
      <c r="L101">
        <v>40</v>
      </c>
      <c r="M101">
        <v>80</v>
      </c>
      <c r="N101">
        <v>80</v>
      </c>
      <c r="O101">
        <v>350</v>
      </c>
      <c r="P101">
        <v>450</v>
      </c>
      <c r="Q101">
        <v>200</v>
      </c>
      <c r="AA101" t="s">
        <v>56</v>
      </c>
      <c r="AB101" t="s">
        <v>56</v>
      </c>
      <c r="AC101" t="s">
        <v>56</v>
      </c>
      <c r="AD101" t="s">
        <v>56</v>
      </c>
      <c r="AE101" t="s">
        <v>56</v>
      </c>
      <c r="AG101" t="s">
        <v>2480</v>
      </c>
      <c r="AI101" t="s">
        <v>1862</v>
      </c>
      <c r="AK101" t="s">
        <v>1870</v>
      </c>
      <c r="AM101">
        <v>0</v>
      </c>
      <c r="AS101">
        <v>0.4</v>
      </c>
    </row>
    <row r="102" spans="1:50" ht="18.75" customHeight="1">
      <c r="A102" s="591">
        <v>95</v>
      </c>
      <c r="B102" s="591" t="str">
        <f t="shared" si="2"/>
        <v>6</v>
      </c>
      <c r="D102" s="592" t="str">
        <f t="shared" si="3"/>
        <v/>
      </c>
      <c r="E102" t="s">
        <v>1862</v>
      </c>
      <c r="F102">
        <v>0</v>
      </c>
      <c r="G102" t="s">
        <v>1871</v>
      </c>
      <c r="H102">
        <v>0</v>
      </c>
      <c r="I102" t="s">
        <v>1145</v>
      </c>
      <c r="J102" s="535">
        <v>2100</v>
      </c>
      <c r="K102">
        <v>0</v>
      </c>
      <c r="L102">
        <v>0</v>
      </c>
      <c r="M102">
        <v>100</v>
      </c>
      <c r="N102">
        <v>450</v>
      </c>
      <c r="O102">
        <v>800</v>
      </c>
      <c r="P102">
        <v>750</v>
      </c>
      <c r="Q102">
        <v>0</v>
      </c>
      <c r="AA102" t="s">
        <v>56</v>
      </c>
      <c r="AB102" t="s">
        <v>56</v>
      </c>
      <c r="AC102" t="s">
        <v>56</v>
      </c>
      <c r="AD102" t="s">
        <v>56</v>
      </c>
      <c r="AE102" t="s">
        <v>56</v>
      </c>
      <c r="AG102" t="s">
        <v>2480</v>
      </c>
      <c r="AI102" t="s">
        <v>1862</v>
      </c>
      <c r="AK102" t="s">
        <v>1871</v>
      </c>
      <c r="AM102">
        <v>0</v>
      </c>
      <c r="AS102">
        <v>0.4</v>
      </c>
    </row>
    <row r="103" spans="1:50" ht="18.75" customHeight="1">
      <c r="A103" s="591">
        <v>96</v>
      </c>
      <c r="B103" s="591" t="str">
        <f t="shared" si="2"/>
        <v>6</v>
      </c>
      <c r="D103" s="592" t="str">
        <f t="shared" si="3"/>
        <v>6.2 Prevence onkologických onemocnění</v>
      </c>
      <c r="E103" t="s">
        <v>2483</v>
      </c>
      <c r="F103">
        <v>0</v>
      </c>
      <c r="G103" t="s">
        <v>1876</v>
      </c>
      <c r="H103">
        <v>0</v>
      </c>
      <c r="I103" t="s">
        <v>2102</v>
      </c>
      <c r="J103">
        <v>6850</v>
      </c>
      <c r="K103">
        <v>0</v>
      </c>
      <c r="L103">
        <v>0</v>
      </c>
      <c r="M103">
        <v>210</v>
      </c>
      <c r="N103">
        <v>470</v>
      </c>
      <c r="O103">
        <v>2121</v>
      </c>
      <c r="P103">
        <v>2140</v>
      </c>
      <c r="Q103">
        <v>1909</v>
      </c>
      <c r="AA103" t="s">
        <v>56</v>
      </c>
      <c r="AB103" t="s">
        <v>56</v>
      </c>
      <c r="AC103" t="s">
        <v>56</v>
      </c>
      <c r="AD103" t="s">
        <v>56</v>
      </c>
      <c r="AE103" t="s">
        <v>56</v>
      </c>
      <c r="AG103" t="s">
        <v>2480</v>
      </c>
      <c r="AI103" t="s">
        <v>2483</v>
      </c>
      <c r="AK103" t="s">
        <v>1876</v>
      </c>
      <c r="AM103">
        <v>0</v>
      </c>
      <c r="AS103">
        <v>0</v>
      </c>
    </row>
    <row r="104" spans="1:50" ht="18.75" customHeight="1">
      <c r="A104" s="591">
        <v>97</v>
      </c>
      <c r="B104" s="591" t="str">
        <f t="shared" si="2"/>
        <v>6</v>
      </c>
      <c r="D104" s="592" t="str">
        <f t="shared" si="3"/>
        <v/>
      </c>
      <c r="E104" t="s">
        <v>2483</v>
      </c>
      <c r="F104">
        <v>0</v>
      </c>
      <c r="G104" t="s">
        <v>1877</v>
      </c>
      <c r="H104">
        <v>0</v>
      </c>
      <c r="I104" t="s">
        <v>2102</v>
      </c>
      <c r="J104">
        <v>400</v>
      </c>
      <c r="K104">
        <v>0</v>
      </c>
      <c r="L104">
        <v>25</v>
      </c>
      <c r="M104">
        <v>60</v>
      </c>
      <c r="N104">
        <v>80</v>
      </c>
      <c r="O104">
        <v>80</v>
      </c>
      <c r="P104">
        <v>80</v>
      </c>
      <c r="Q104">
        <v>75</v>
      </c>
      <c r="AA104" t="s">
        <v>56</v>
      </c>
      <c r="AB104" t="s">
        <v>56</v>
      </c>
      <c r="AC104" t="s">
        <v>56</v>
      </c>
      <c r="AD104" t="s">
        <v>56</v>
      </c>
      <c r="AE104" t="s">
        <v>56</v>
      </c>
      <c r="AG104" t="s">
        <v>2480</v>
      </c>
      <c r="AI104" t="s">
        <v>2483</v>
      </c>
      <c r="AK104" t="s">
        <v>1877</v>
      </c>
      <c r="AM104">
        <v>0</v>
      </c>
      <c r="AS104">
        <v>0</v>
      </c>
    </row>
    <row r="105" spans="1:50" ht="18.75" customHeight="1">
      <c r="A105" s="591">
        <v>98</v>
      </c>
      <c r="B105" s="591" t="str">
        <f t="shared" si="2"/>
        <v>6</v>
      </c>
      <c r="D105" s="592" t="str">
        <f t="shared" si="3"/>
        <v/>
      </c>
      <c r="E105" t="s">
        <v>2483</v>
      </c>
      <c r="F105">
        <v>0</v>
      </c>
      <c r="G105" t="s">
        <v>1879</v>
      </c>
      <c r="H105">
        <v>0</v>
      </c>
      <c r="I105" t="s">
        <v>2102</v>
      </c>
      <c r="J105">
        <v>2000</v>
      </c>
      <c r="K105">
        <v>0</v>
      </c>
      <c r="L105">
        <v>0</v>
      </c>
      <c r="M105">
        <v>100</v>
      </c>
      <c r="N105">
        <v>250</v>
      </c>
      <c r="O105">
        <v>600</v>
      </c>
      <c r="P105">
        <v>700</v>
      </c>
      <c r="Q105">
        <v>350</v>
      </c>
      <c r="AA105" t="s">
        <v>56</v>
      </c>
      <c r="AB105" t="s">
        <v>56</v>
      </c>
      <c r="AC105" t="s">
        <v>56</v>
      </c>
      <c r="AD105" t="s">
        <v>56</v>
      </c>
      <c r="AE105" t="s">
        <v>56</v>
      </c>
      <c r="AG105" t="s">
        <v>2480</v>
      </c>
      <c r="AI105" t="s">
        <v>2483</v>
      </c>
      <c r="AK105" t="s">
        <v>1879</v>
      </c>
      <c r="AM105">
        <v>0</v>
      </c>
      <c r="AS105">
        <v>0</v>
      </c>
    </row>
    <row r="106" spans="1:50" ht="18.75" customHeight="1">
      <c r="A106" s="591">
        <v>99</v>
      </c>
      <c r="B106" s="591" t="str">
        <f t="shared" si="2"/>
        <v>6</v>
      </c>
      <c r="D106" s="592" t="str">
        <f t="shared" si="3"/>
        <v/>
      </c>
      <c r="E106" t="s">
        <v>2483</v>
      </c>
      <c r="G106" t="s">
        <v>1883</v>
      </c>
      <c r="H106">
        <v>0</v>
      </c>
      <c r="I106" t="s">
        <v>2102</v>
      </c>
      <c r="J106">
        <v>600</v>
      </c>
      <c r="K106">
        <v>0</v>
      </c>
      <c r="L106">
        <v>0</v>
      </c>
      <c r="M106">
        <v>30</v>
      </c>
      <c r="N106">
        <v>90</v>
      </c>
      <c r="O106">
        <v>150</v>
      </c>
      <c r="P106">
        <v>165</v>
      </c>
      <c r="Q106">
        <v>165</v>
      </c>
      <c r="AA106" t="s">
        <v>56</v>
      </c>
      <c r="AB106" t="s">
        <v>56</v>
      </c>
      <c r="AC106" t="s">
        <v>56</v>
      </c>
      <c r="AD106" t="s">
        <v>56</v>
      </c>
      <c r="AE106" t="s">
        <v>56</v>
      </c>
      <c r="AG106" t="s">
        <v>2480</v>
      </c>
      <c r="AI106" t="s">
        <v>2483</v>
      </c>
      <c r="AK106" t="s">
        <v>1883</v>
      </c>
      <c r="AM106">
        <v>0</v>
      </c>
      <c r="AS106">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4802-B7CF-4428-A722-93DDD6C12AD2}">
  <dimension ref="D3:AX270"/>
  <sheetViews>
    <sheetView topLeftCell="W28" zoomScale="55" zoomScaleNormal="55" workbookViewId="0">
      <selection activeCell="AG41" sqref="AG41:AY44"/>
    </sheetView>
  </sheetViews>
  <sheetFormatPr defaultRowHeight="18.75" customHeight="1"/>
  <sheetData>
    <row r="3" spans="4:50" ht="18.75" customHeight="1">
      <c r="AG3" t="s">
        <v>1944</v>
      </c>
    </row>
    <row r="4" spans="4:50" ht="18.75" customHeight="1">
      <c r="AG4" t="s">
        <v>1945</v>
      </c>
    </row>
    <row r="5" spans="4:50" ht="18.75" customHeight="1">
      <c r="E5" t="s">
        <v>1901</v>
      </c>
      <c r="AG5" t="s">
        <v>1946</v>
      </c>
      <c r="AH5" t="s">
        <v>1947</v>
      </c>
      <c r="AI5" t="s">
        <v>1948</v>
      </c>
      <c r="AJ5" t="s">
        <v>1949</v>
      </c>
      <c r="AK5" t="s">
        <v>1950</v>
      </c>
      <c r="AL5" t="s">
        <v>1951</v>
      </c>
      <c r="AM5" t="s">
        <v>1952</v>
      </c>
      <c r="AS5" t="s">
        <v>1953</v>
      </c>
      <c r="AU5" t="s">
        <v>1954</v>
      </c>
    </row>
    <row r="6" spans="4:50" ht="18.75" customHeight="1">
      <c r="E6" t="s">
        <v>1902</v>
      </c>
      <c r="F6" t="s">
        <v>1903</v>
      </c>
      <c r="G6" t="s">
        <v>1904</v>
      </c>
      <c r="H6" t="s">
        <v>1905</v>
      </c>
      <c r="I6" t="s">
        <v>1906</v>
      </c>
      <c r="J6" t="s">
        <v>1907</v>
      </c>
      <c r="K6" t="s">
        <v>1908</v>
      </c>
      <c r="R6" t="s">
        <v>1909</v>
      </c>
      <c r="S6" t="s">
        <v>1910</v>
      </c>
      <c r="X6" t="s">
        <v>1911</v>
      </c>
      <c r="Y6" t="s">
        <v>1912</v>
      </c>
    </row>
    <row r="7" spans="4:50" ht="18.75" customHeight="1">
      <c r="K7">
        <v>2020</v>
      </c>
      <c r="L7">
        <v>2021</v>
      </c>
      <c r="M7">
        <v>2022</v>
      </c>
      <c r="N7">
        <v>2023</v>
      </c>
      <c r="O7">
        <v>2024</v>
      </c>
      <c r="P7">
        <v>2025</v>
      </c>
      <c r="Q7">
        <v>2026</v>
      </c>
      <c r="R7" t="s">
        <v>1913</v>
      </c>
      <c r="T7" t="s">
        <v>1914</v>
      </c>
      <c r="U7" t="s">
        <v>1915</v>
      </c>
      <c r="V7" t="s">
        <v>1916</v>
      </c>
      <c r="W7" t="s">
        <v>1917</v>
      </c>
      <c r="Z7" t="s">
        <v>1918</v>
      </c>
      <c r="AC7" t="s">
        <v>1919</v>
      </c>
      <c r="AM7" t="s">
        <v>1955</v>
      </c>
      <c r="AN7" t="s">
        <v>1956</v>
      </c>
      <c r="AO7" t="s">
        <v>1957</v>
      </c>
      <c r="AP7" t="s">
        <v>1958</v>
      </c>
      <c r="AQ7" t="s">
        <v>1959</v>
      </c>
      <c r="AR7" t="s">
        <v>1959</v>
      </c>
      <c r="AU7" t="s">
        <v>1960</v>
      </c>
      <c r="AV7" t="s">
        <v>1961</v>
      </c>
      <c r="AW7" t="s">
        <v>1962</v>
      </c>
      <c r="AX7" t="s">
        <v>1963</v>
      </c>
    </row>
    <row r="8" spans="4:50" ht="18.75" customHeight="1">
      <c r="R8" t="s">
        <v>1920</v>
      </c>
      <c r="S8" t="s">
        <v>1921</v>
      </c>
      <c r="Z8" t="s">
        <v>1922</v>
      </c>
      <c r="AA8" t="s">
        <v>1923</v>
      </c>
      <c r="AB8" t="s">
        <v>1924</v>
      </c>
      <c r="AC8" t="s">
        <v>1925</v>
      </c>
      <c r="AD8" t="s">
        <v>1926</v>
      </c>
      <c r="AM8" t="s">
        <v>1964</v>
      </c>
      <c r="AN8" t="s">
        <v>1964</v>
      </c>
    </row>
    <row r="9" spans="4:50" ht="18.75" customHeight="1">
      <c r="E9" t="s">
        <v>1927</v>
      </c>
      <c r="G9" t="s">
        <v>1887</v>
      </c>
      <c r="I9" t="s">
        <v>1928</v>
      </c>
      <c r="J9" t="s">
        <v>1929</v>
      </c>
      <c r="K9">
        <v>0</v>
      </c>
      <c r="L9">
        <v>0</v>
      </c>
      <c r="M9">
        <v>0.2</v>
      </c>
      <c r="N9">
        <v>0.1</v>
      </c>
      <c r="O9">
        <v>0</v>
      </c>
      <c r="P9">
        <v>0</v>
      </c>
      <c r="Q9">
        <v>1.4</v>
      </c>
      <c r="R9" t="s">
        <v>28</v>
      </c>
      <c r="T9" t="s">
        <v>28</v>
      </c>
      <c r="V9" t="s">
        <v>28</v>
      </c>
      <c r="X9" t="s">
        <v>1930</v>
      </c>
      <c r="Z9" t="s">
        <v>1931</v>
      </c>
      <c r="AA9" t="s">
        <v>28</v>
      </c>
      <c r="AC9" t="s">
        <v>1932</v>
      </c>
      <c r="AG9" t="s">
        <v>1965</v>
      </c>
      <c r="AI9" t="s">
        <v>1927</v>
      </c>
      <c r="AK9" t="s">
        <v>1887</v>
      </c>
      <c r="AM9">
        <v>0</v>
      </c>
      <c r="AN9">
        <v>0</v>
      </c>
      <c r="AO9" t="s">
        <v>1966</v>
      </c>
      <c r="AQ9" t="s">
        <v>1967</v>
      </c>
      <c r="AS9">
        <v>1</v>
      </c>
      <c r="AU9">
        <v>0</v>
      </c>
      <c r="AW9">
        <v>1</v>
      </c>
    </row>
    <row r="10" spans="4:50" ht="18.75" customHeight="1">
      <c r="G10" t="s">
        <v>1888</v>
      </c>
      <c r="I10" t="s">
        <v>1928</v>
      </c>
      <c r="J10" t="s">
        <v>1933</v>
      </c>
      <c r="K10">
        <v>0</v>
      </c>
      <c r="L10">
        <v>2</v>
      </c>
      <c r="M10">
        <v>5</v>
      </c>
      <c r="N10">
        <v>5</v>
      </c>
      <c r="O10">
        <v>5</v>
      </c>
      <c r="P10">
        <v>5</v>
      </c>
      <c r="Q10">
        <v>5</v>
      </c>
      <c r="X10" t="s">
        <v>1930</v>
      </c>
      <c r="Z10" t="s">
        <v>1934</v>
      </c>
      <c r="AA10" t="s">
        <v>28</v>
      </c>
      <c r="AB10" t="s">
        <v>28</v>
      </c>
      <c r="AC10" t="s">
        <v>63</v>
      </c>
      <c r="AG10" t="s">
        <v>1965</v>
      </c>
      <c r="AI10" t="s">
        <v>1927</v>
      </c>
      <c r="AK10" t="s">
        <v>1888</v>
      </c>
      <c r="AM10">
        <v>0</v>
      </c>
      <c r="AN10">
        <v>0</v>
      </c>
      <c r="AO10" t="s">
        <v>1968</v>
      </c>
      <c r="AQ10" t="s">
        <v>1967</v>
      </c>
      <c r="AS10">
        <v>1</v>
      </c>
      <c r="AU10">
        <v>0</v>
      </c>
      <c r="AW10">
        <v>1</v>
      </c>
    </row>
    <row r="11" spans="4:50" ht="18.75" customHeight="1">
      <c r="G11" t="s">
        <v>1889</v>
      </c>
      <c r="I11" t="s">
        <v>1928</v>
      </c>
      <c r="J11" t="s">
        <v>1935</v>
      </c>
      <c r="K11">
        <v>0</v>
      </c>
      <c r="L11">
        <v>0</v>
      </c>
      <c r="M11">
        <v>0</v>
      </c>
      <c r="N11">
        <v>1.1000000000000001</v>
      </c>
      <c r="O11">
        <v>0</v>
      </c>
      <c r="P11">
        <v>0</v>
      </c>
      <c r="Q11">
        <v>2.2999999999999998</v>
      </c>
      <c r="R11" t="s">
        <v>1936</v>
      </c>
      <c r="T11" t="s">
        <v>28</v>
      </c>
      <c r="V11" t="s">
        <v>1937</v>
      </c>
      <c r="X11" t="s">
        <v>1930</v>
      </c>
      <c r="Z11" t="s">
        <v>1040</v>
      </c>
      <c r="AA11" t="s">
        <v>28</v>
      </c>
      <c r="AB11" t="s">
        <v>1938</v>
      </c>
      <c r="AC11" t="s">
        <v>1939</v>
      </c>
      <c r="AD11" t="s">
        <v>1940</v>
      </c>
      <c r="AG11" t="s">
        <v>1965</v>
      </c>
      <c r="AI11" t="s">
        <v>1927</v>
      </c>
      <c r="AK11" t="s">
        <v>1889</v>
      </c>
      <c r="AM11">
        <v>0</v>
      </c>
      <c r="AN11">
        <v>0</v>
      </c>
      <c r="AO11" t="s">
        <v>1969</v>
      </c>
      <c r="AQ11" t="s">
        <v>1967</v>
      </c>
      <c r="AS11">
        <v>1</v>
      </c>
      <c r="AU11">
        <v>0</v>
      </c>
      <c r="AW11">
        <v>1</v>
      </c>
    </row>
    <row r="12" spans="4:50" ht="18.75" customHeight="1">
      <c r="D12" t="s">
        <v>2027</v>
      </c>
      <c r="G12" t="s">
        <v>1890</v>
      </c>
      <c r="I12" t="s">
        <v>1928</v>
      </c>
      <c r="J12" t="s">
        <v>1941</v>
      </c>
      <c r="K12">
        <v>0</v>
      </c>
      <c r="L12">
        <v>0</v>
      </c>
      <c r="M12">
        <v>0.1</v>
      </c>
      <c r="N12">
        <v>0.5</v>
      </c>
      <c r="O12">
        <v>0.2</v>
      </c>
      <c r="P12">
        <v>0.1</v>
      </c>
      <c r="Q12">
        <v>0.1</v>
      </c>
      <c r="R12" t="s">
        <v>28</v>
      </c>
      <c r="T12" t="s">
        <v>28</v>
      </c>
      <c r="V12" t="s">
        <v>28</v>
      </c>
      <c r="X12" t="s">
        <v>1930</v>
      </c>
      <c r="AA12" t="s">
        <v>28</v>
      </c>
      <c r="AB12" t="s">
        <v>1942</v>
      </c>
      <c r="AC12" t="s">
        <v>1943</v>
      </c>
      <c r="AD12" t="s">
        <v>56</v>
      </c>
      <c r="AG12" t="s">
        <v>1965</v>
      </c>
      <c r="AI12" t="s">
        <v>1927</v>
      </c>
      <c r="AK12" t="s">
        <v>1890</v>
      </c>
      <c r="AM12">
        <v>0.4</v>
      </c>
      <c r="AN12">
        <v>0</v>
      </c>
      <c r="AO12" t="s">
        <v>1970</v>
      </c>
      <c r="AQ12" t="s">
        <v>1967</v>
      </c>
      <c r="AS12">
        <v>1</v>
      </c>
      <c r="AU12">
        <v>0.4</v>
      </c>
      <c r="AW12">
        <v>1</v>
      </c>
    </row>
    <row r="14" spans="4:50" ht="18.75" customHeight="1">
      <c r="AG14" t="s">
        <v>1944</v>
      </c>
    </row>
    <row r="15" spans="4:50" ht="18.75" customHeight="1">
      <c r="Z15" s="534"/>
      <c r="AA15" s="534"/>
      <c r="AB15" s="534"/>
      <c r="AC15" s="534"/>
      <c r="AD15" s="534"/>
      <c r="AG15" t="s">
        <v>1945</v>
      </c>
    </row>
    <row r="16" spans="4:50" ht="18.75" customHeight="1">
      <c r="E16" t="s">
        <v>1901</v>
      </c>
      <c r="AG16" t="s">
        <v>1946</v>
      </c>
      <c r="AH16" t="s">
        <v>1947</v>
      </c>
      <c r="AI16" t="s">
        <v>1948</v>
      </c>
      <c r="AJ16" t="s">
        <v>1949</v>
      </c>
      <c r="AK16" t="s">
        <v>1950</v>
      </c>
      <c r="AL16" t="s">
        <v>1951</v>
      </c>
      <c r="AM16" t="s">
        <v>1952</v>
      </c>
      <c r="AS16" t="s">
        <v>1953</v>
      </c>
      <c r="AU16" t="s">
        <v>1954</v>
      </c>
    </row>
    <row r="17" spans="5:50" ht="18.75" customHeight="1">
      <c r="E17" t="s">
        <v>1902</v>
      </c>
      <c r="F17" t="s">
        <v>1903</v>
      </c>
      <c r="G17" t="s">
        <v>1904</v>
      </c>
      <c r="H17" t="s">
        <v>1905</v>
      </c>
      <c r="I17" t="s">
        <v>1906</v>
      </c>
      <c r="J17" t="s">
        <v>1907</v>
      </c>
      <c r="K17" t="s">
        <v>1908</v>
      </c>
      <c r="R17" t="s">
        <v>1971</v>
      </c>
      <c r="S17" t="s">
        <v>1909</v>
      </c>
      <c r="T17" t="s">
        <v>1910</v>
      </c>
      <c r="Y17" t="s">
        <v>1911</v>
      </c>
      <c r="Z17" t="s">
        <v>1912</v>
      </c>
    </row>
    <row r="18" spans="5:50" ht="18.75" customHeight="1">
      <c r="K18">
        <v>2020</v>
      </c>
      <c r="L18">
        <v>2021</v>
      </c>
      <c r="M18">
        <v>2022</v>
      </c>
      <c r="N18">
        <v>2023</v>
      </c>
      <c r="O18">
        <v>2024</v>
      </c>
      <c r="P18">
        <v>2025</v>
      </c>
      <c r="Q18">
        <v>2026</v>
      </c>
      <c r="R18" t="s">
        <v>1913</v>
      </c>
      <c r="U18" t="s">
        <v>1914</v>
      </c>
      <c r="V18" t="s">
        <v>1915</v>
      </c>
      <c r="W18" t="s">
        <v>1916</v>
      </c>
      <c r="X18" t="s">
        <v>1917</v>
      </c>
      <c r="AA18" t="s">
        <v>1918</v>
      </c>
      <c r="AD18" t="s">
        <v>1919</v>
      </c>
      <c r="AM18" t="s">
        <v>1955</v>
      </c>
      <c r="AN18" t="s">
        <v>1956</v>
      </c>
      <c r="AO18" t="s">
        <v>1957</v>
      </c>
      <c r="AP18" t="s">
        <v>1958</v>
      </c>
      <c r="AQ18" t="s">
        <v>1959</v>
      </c>
      <c r="AR18" t="s">
        <v>1959</v>
      </c>
      <c r="AU18" t="s">
        <v>1960</v>
      </c>
      <c r="AV18" t="s">
        <v>1961</v>
      </c>
      <c r="AW18" t="s">
        <v>1962</v>
      </c>
      <c r="AX18" t="s">
        <v>1963</v>
      </c>
    </row>
    <row r="19" spans="5:50" ht="18.75" customHeight="1">
      <c r="R19" t="s">
        <v>1920</v>
      </c>
      <c r="S19" t="s">
        <v>1972</v>
      </c>
      <c r="T19" t="s">
        <v>1921</v>
      </c>
      <c r="AA19" t="s">
        <v>1922</v>
      </c>
      <c r="AB19" t="s">
        <v>1923</v>
      </c>
      <c r="AC19" t="s">
        <v>1924</v>
      </c>
      <c r="AD19" t="s">
        <v>1925</v>
      </c>
      <c r="AE19" t="s">
        <v>1926</v>
      </c>
      <c r="AM19" t="s">
        <v>1964</v>
      </c>
      <c r="AN19" t="s">
        <v>1964</v>
      </c>
    </row>
    <row r="20" spans="5:50" ht="18.75" customHeight="1">
      <c r="G20" t="s">
        <v>123</v>
      </c>
      <c r="I20" t="s">
        <v>1973</v>
      </c>
      <c r="J20">
        <v>20</v>
      </c>
      <c r="K20">
        <v>0</v>
      </c>
      <c r="L20">
        <v>4</v>
      </c>
      <c r="M20">
        <v>4</v>
      </c>
      <c r="N20">
        <v>4</v>
      </c>
      <c r="O20">
        <v>4</v>
      </c>
      <c r="P20">
        <v>4</v>
      </c>
      <c r="Q20">
        <v>0</v>
      </c>
      <c r="R20" t="s">
        <v>129</v>
      </c>
      <c r="S20" t="s">
        <v>129</v>
      </c>
      <c r="U20" t="s">
        <v>1974</v>
      </c>
      <c r="Y20" t="s">
        <v>1975</v>
      </c>
      <c r="AG20" t="s">
        <v>1965</v>
      </c>
      <c r="AI20" t="s">
        <v>122</v>
      </c>
      <c r="AK20" t="s">
        <v>123</v>
      </c>
      <c r="AM20">
        <v>0</v>
      </c>
      <c r="AN20">
        <v>0</v>
      </c>
      <c r="AO20">
        <v>21</v>
      </c>
      <c r="AQ20" t="s">
        <v>1985</v>
      </c>
      <c r="AS20">
        <v>1</v>
      </c>
      <c r="AU20">
        <v>0</v>
      </c>
      <c r="AW20">
        <v>1</v>
      </c>
    </row>
    <row r="21" spans="5:50" ht="18.75" customHeight="1">
      <c r="E21" t="s">
        <v>122</v>
      </c>
      <c r="G21" t="s">
        <v>131</v>
      </c>
      <c r="I21" t="s">
        <v>1976</v>
      </c>
      <c r="J21">
        <v>240</v>
      </c>
      <c r="K21">
        <v>0</v>
      </c>
      <c r="L21">
        <v>0</v>
      </c>
      <c r="M21">
        <v>80</v>
      </c>
      <c r="N21">
        <v>80</v>
      </c>
      <c r="O21">
        <v>80</v>
      </c>
      <c r="P21">
        <v>0</v>
      </c>
      <c r="Q21">
        <v>0</v>
      </c>
      <c r="R21" t="s">
        <v>1977</v>
      </c>
      <c r="U21" t="s">
        <v>1978</v>
      </c>
      <c r="W21" t="s">
        <v>1979</v>
      </c>
      <c r="Y21" t="s">
        <v>1975</v>
      </c>
      <c r="AG21" t="s">
        <v>1965</v>
      </c>
      <c r="AI21" t="s">
        <v>122</v>
      </c>
      <c r="AK21" t="s">
        <v>131</v>
      </c>
      <c r="AM21">
        <v>0</v>
      </c>
      <c r="AN21">
        <v>0</v>
      </c>
      <c r="AO21">
        <v>21</v>
      </c>
      <c r="AQ21" t="s">
        <v>1985</v>
      </c>
      <c r="AS21">
        <v>1</v>
      </c>
      <c r="AU21">
        <v>0</v>
      </c>
      <c r="AW21">
        <v>1</v>
      </c>
    </row>
    <row r="22" spans="5:50" ht="18.75" customHeight="1">
      <c r="E22" t="s">
        <v>122</v>
      </c>
      <c r="G22" t="s">
        <v>150</v>
      </c>
      <c r="I22" t="s">
        <v>1928</v>
      </c>
      <c r="J22">
        <v>30</v>
      </c>
      <c r="K22">
        <v>0</v>
      </c>
      <c r="L22">
        <v>10</v>
      </c>
      <c r="M22">
        <v>10</v>
      </c>
      <c r="N22">
        <v>10</v>
      </c>
      <c r="O22">
        <v>0</v>
      </c>
      <c r="P22">
        <v>0</v>
      </c>
      <c r="Q22">
        <v>0</v>
      </c>
      <c r="R22" t="s">
        <v>1980</v>
      </c>
      <c r="U22" t="s">
        <v>1981</v>
      </c>
      <c r="W22" t="s">
        <v>1982</v>
      </c>
      <c r="Y22" t="s">
        <v>1975</v>
      </c>
      <c r="AA22" t="s">
        <v>1983</v>
      </c>
      <c r="AB22" t="s">
        <v>1983</v>
      </c>
      <c r="AC22" t="s">
        <v>1983</v>
      </c>
      <c r="AD22" t="s">
        <v>1984</v>
      </c>
      <c r="AE22" t="s">
        <v>1985</v>
      </c>
      <c r="AG22" t="s">
        <v>1965</v>
      </c>
      <c r="AI22" t="s">
        <v>122</v>
      </c>
      <c r="AK22" t="s">
        <v>150</v>
      </c>
      <c r="AM22">
        <v>0</v>
      </c>
      <c r="AN22">
        <v>0</v>
      </c>
      <c r="AO22">
        <v>21</v>
      </c>
      <c r="AQ22" t="s">
        <v>1985</v>
      </c>
      <c r="AS22">
        <v>1</v>
      </c>
      <c r="AU22">
        <v>0</v>
      </c>
      <c r="AW22">
        <v>1</v>
      </c>
    </row>
    <row r="23" spans="5:50" ht="18.75" customHeight="1">
      <c r="E23" t="s">
        <v>122</v>
      </c>
      <c r="G23" t="s">
        <v>163</v>
      </c>
      <c r="I23" t="s">
        <v>1986</v>
      </c>
      <c r="J23">
        <v>170</v>
      </c>
      <c r="K23">
        <v>0</v>
      </c>
      <c r="L23">
        <v>20</v>
      </c>
      <c r="M23">
        <v>50</v>
      </c>
      <c r="N23">
        <v>50</v>
      </c>
      <c r="O23">
        <v>50</v>
      </c>
      <c r="P23">
        <v>0</v>
      </c>
      <c r="Q23">
        <v>0</v>
      </c>
      <c r="R23" t="s">
        <v>129</v>
      </c>
      <c r="U23" t="s">
        <v>1987</v>
      </c>
      <c r="W23" t="s">
        <v>1987</v>
      </c>
      <c r="Y23" t="s">
        <v>1975</v>
      </c>
      <c r="AA23" t="s">
        <v>1983</v>
      </c>
      <c r="AB23" t="s">
        <v>1983</v>
      </c>
      <c r="AC23" t="s">
        <v>1983</v>
      </c>
      <c r="AD23" t="s">
        <v>1988</v>
      </c>
      <c r="AE23" t="s">
        <v>1985</v>
      </c>
      <c r="AG23" t="s">
        <v>1965</v>
      </c>
      <c r="AI23" t="s">
        <v>122</v>
      </c>
      <c r="AK23" t="s">
        <v>163</v>
      </c>
      <c r="AM23">
        <v>0</v>
      </c>
      <c r="AN23">
        <v>0</v>
      </c>
      <c r="AO23">
        <v>21</v>
      </c>
      <c r="AQ23" t="s">
        <v>1985</v>
      </c>
      <c r="AS23">
        <v>1</v>
      </c>
      <c r="AU23">
        <v>0</v>
      </c>
      <c r="AW23">
        <v>1</v>
      </c>
    </row>
    <row r="24" spans="5:50" ht="18.75" customHeight="1">
      <c r="E24" t="s">
        <v>122</v>
      </c>
      <c r="G24" t="s">
        <v>174</v>
      </c>
      <c r="I24" t="s">
        <v>1986</v>
      </c>
      <c r="J24">
        <v>110</v>
      </c>
      <c r="K24">
        <v>0</v>
      </c>
      <c r="L24">
        <v>0</v>
      </c>
      <c r="M24">
        <v>40</v>
      </c>
      <c r="N24">
        <v>40</v>
      </c>
      <c r="O24">
        <v>30</v>
      </c>
      <c r="P24">
        <v>0</v>
      </c>
      <c r="Q24">
        <v>0</v>
      </c>
      <c r="R24" t="s">
        <v>129</v>
      </c>
      <c r="U24" t="s">
        <v>1989</v>
      </c>
      <c r="W24" t="s">
        <v>1989</v>
      </c>
      <c r="Y24" t="s">
        <v>1975</v>
      </c>
      <c r="AA24" t="s">
        <v>1983</v>
      </c>
      <c r="AB24" t="s">
        <v>1983</v>
      </c>
      <c r="AC24" t="s">
        <v>1983</v>
      </c>
      <c r="AD24" t="s">
        <v>1990</v>
      </c>
      <c r="AE24" t="s">
        <v>1991</v>
      </c>
      <c r="AG24" t="s">
        <v>1965</v>
      </c>
      <c r="AI24" t="s">
        <v>122</v>
      </c>
      <c r="AK24" t="s">
        <v>174</v>
      </c>
      <c r="AM24">
        <v>0</v>
      </c>
      <c r="AN24">
        <v>0</v>
      </c>
      <c r="AO24">
        <v>21</v>
      </c>
      <c r="AQ24" t="s">
        <v>1985</v>
      </c>
      <c r="AS24">
        <v>1</v>
      </c>
      <c r="AU24">
        <v>0</v>
      </c>
      <c r="AW24">
        <v>1</v>
      </c>
    </row>
    <row r="25" spans="5:50" ht="18.75" customHeight="1">
      <c r="E25" t="s">
        <v>122</v>
      </c>
      <c r="G25" t="s">
        <v>184</v>
      </c>
      <c r="I25" t="s">
        <v>1928</v>
      </c>
      <c r="J25">
        <v>225</v>
      </c>
      <c r="K25">
        <v>0</v>
      </c>
      <c r="L25">
        <v>25</v>
      </c>
      <c r="M25">
        <v>100</v>
      </c>
      <c r="N25">
        <v>100</v>
      </c>
      <c r="O25">
        <v>0</v>
      </c>
      <c r="P25">
        <v>0</v>
      </c>
      <c r="Q25">
        <v>0</v>
      </c>
      <c r="R25" t="s">
        <v>1992</v>
      </c>
      <c r="U25" t="s">
        <v>1993</v>
      </c>
      <c r="W25" t="s">
        <v>1994</v>
      </c>
      <c r="Y25" t="s">
        <v>1975</v>
      </c>
      <c r="AA25" t="s">
        <v>1983</v>
      </c>
      <c r="AB25" t="s">
        <v>1983</v>
      </c>
      <c r="AC25" t="s">
        <v>1983</v>
      </c>
      <c r="AD25" t="s">
        <v>1995</v>
      </c>
      <c r="AE25" t="s">
        <v>1991</v>
      </c>
      <c r="AG25" t="s">
        <v>1965</v>
      </c>
      <c r="AI25" t="s">
        <v>122</v>
      </c>
      <c r="AK25" t="s">
        <v>184</v>
      </c>
      <c r="AM25">
        <v>0</v>
      </c>
      <c r="AN25">
        <v>0</v>
      </c>
      <c r="AO25">
        <v>10</v>
      </c>
      <c r="AQ25" t="s">
        <v>1985</v>
      </c>
      <c r="AS25">
        <v>1</v>
      </c>
      <c r="AU25">
        <v>0</v>
      </c>
      <c r="AW25">
        <v>1</v>
      </c>
    </row>
    <row r="26" spans="5:50" ht="18.75" customHeight="1">
      <c r="E26" t="s">
        <v>122</v>
      </c>
      <c r="G26" t="s">
        <v>208</v>
      </c>
      <c r="I26" t="s">
        <v>1928</v>
      </c>
      <c r="J26">
        <v>1250</v>
      </c>
      <c r="K26">
        <v>0</v>
      </c>
      <c r="L26">
        <v>250</v>
      </c>
      <c r="M26">
        <v>500</v>
      </c>
      <c r="N26">
        <v>500</v>
      </c>
      <c r="O26">
        <v>0</v>
      </c>
      <c r="P26">
        <v>0</v>
      </c>
      <c r="Q26">
        <v>0</v>
      </c>
      <c r="R26" t="s">
        <v>1996</v>
      </c>
      <c r="U26" t="s">
        <v>129</v>
      </c>
      <c r="W26" t="s">
        <v>1997</v>
      </c>
      <c r="Y26" t="s">
        <v>1975</v>
      </c>
      <c r="AA26" t="s">
        <v>1983</v>
      </c>
      <c r="AB26" t="s">
        <v>1983</v>
      </c>
      <c r="AC26" t="s">
        <v>1983</v>
      </c>
      <c r="AD26" t="s">
        <v>238</v>
      </c>
      <c r="AE26" t="s">
        <v>1998</v>
      </c>
      <c r="AG26" t="s">
        <v>1965</v>
      </c>
      <c r="AI26" t="s">
        <v>122</v>
      </c>
      <c r="AK26" t="s">
        <v>208</v>
      </c>
      <c r="AM26">
        <v>0</v>
      </c>
      <c r="AN26">
        <v>0</v>
      </c>
      <c r="AO26">
        <v>11</v>
      </c>
      <c r="AQ26" t="s">
        <v>1985</v>
      </c>
      <c r="AS26">
        <v>1</v>
      </c>
      <c r="AU26">
        <v>0.4</v>
      </c>
      <c r="AW26">
        <v>1</v>
      </c>
    </row>
    <row r="27" spans="5:50" ht="18.75" customHeight="1">
      <c r="E27" t="s">
        <v>122</v>
      </c>
      <c r="G27" t="s">
        <v>296</v>
      </c>
      <c r="I27" t="s">
        <v>1973</v>
      </c>
      <c r="J27">
        <v>10</v>
      </c>
      <c r="K27">
        <v>0</v>
      </c>
      <c r="L27">
        <v>2</v>
      </c>
      <c r="M27">
        <v>2</v>
      </c>
      <c r="N27">
        <v>2</v>
      </c>
      <c r="O27">
        <v>2</v>
      </c>
      <c r="P27">
        <v>2</v>
      </c>
      <c r="Q27">
        <v>0</v>
      </c>
      <c r="R27" t="s">
        <v>129</v>
      </c>
      <c r="S27" t="s">
        <v>129</v>
      </c>
      <c r="U27" t="s">
        <v>1974</v>
      </c>
      <c r="Y27" t="s">
        <v>1975</v>
      </c>
      <c r="AG27" t="s">
        <v>1965</v>
      </c>
      <c r="AI27" t="s">
        <v>122</v>
      </c>
      <c r="AK27" t="s">
        <v>296</v>
      </c>
      <c r="AM27">
        <v>0</v>
      </c>
      <c r="AN27">
        <v>0</v>
      </c>
      <c r="AO27">
        <v>10</v>
      </c>
      <c r="AQ27" t="s">
        <v>1985</v>
      </c>
      <c r="AS27">
        <v>1</v>
      </c>
      <c r="AU27">
        <v>0</v>
      </c>
      <c r="AW27">
        <v>1</v>
      </c>
    </row>
    <row r="28" spans="5:50" ht="18.75" customHeight="1">
      <c r="E28" t="s">
        <v>122</v>
      </c>
      <c r="G28" t="s">
        <v>303</v>
      </c>
      <c r="I28" t="s">
        <v>1999</v>
      </c>
      <c r="J28">
        <v>600</v>
      </c>
      <c r="K28">
        <v>0</v>
      </c>
      <c r="L28">
        <v>200</v>
      </c>
      <c r="M28">
        <v>200</v>
      </c>
      <c r="N28">
        <v>200</v>
      </c>
      <c r="O28">
        <v>0</v>
      </c>
      <c r="P28">
        <v>0</v>
      </c>
      <c r="Q28">
        <v>0</v>
      </c>
      <c r="R28" t="s">
        <v>129</v>
      </c>
      <c r="U28" t="s">
        <v>2000</v>
      </c>
      <c r="W28" t="s">
        <v>129</v>
      </c>
      <c r="Y28" t="s">
        <v>1975</v>
      </c>
      <c r="AA28" t="s">
        <v>1983</v>
      </c>
      <c r="AB28" t="s">
        <v>1983</v>
      </c>
      <c r="AC28" t="s">
        <v>1983</v>
      </c>
      <c r="AD28" t="s">
        <v>2001</v>
      </c>
      <c r="AE28" t="s">
        <v>1991</v>
      </c>
      <c r="AG28" t="s">
        <v>1965</v>
      </c>
      <c r="AI28" t="s">
        <v>122</v>
      </c>
      <c r="AK28" t="s">
        <v>303</v>
      </c>
      <c r="AM28">
        <v>0</v>
      </c>
      <c r="AN28">
        <v>0</v>
      </c>
      <c r="AO28">
        <v>10</v>
      </c>
      <c r="AQ28" t="s">
        <v>1985</v>
      </c>
      <c r="AS28">
        <v>1</v>
      </c>
      <c r="AU28">
        <v>0</v>
      </c>
      <c r="AW28">
        <v>1</v>
      </c>
    </row>
    <row r="29" spans="5:50" ht="18.75" customHeight="1">
      <c r="E29" t="s">
        <v>122</v>
      </c>
      <c r="F29">
        <v>0</v>
      </c>
      <c r="G29" t="s">
        <v>313</v>
      </c>
      <c r="H29">
        <v>0</v>
      </c>
      <c r="I29" t="s">
        <v>1928</v>
      </c>
      <c r="J29">
        <v>150</v>
      </c>
      <c r="K29">
        <v>0</v>
      </c>
      <c r="L29">
        <v>50</v>
      </c>
      <c r="M29">
        <v>50</v>
      </c>
      <c r="N29">
        <v>50</v>
      </c>
      <c r="O29">
        <v>0</v>
      </c>
      <c r="P29">
        <v>0</v>
      </c>
      <c r="Q29">
        <v>0</v>
      </c>
      <c r="S29" t="s">
        <v>2002</v>
      </c>
      <c r="T29" t="s">
        <v>2003</v>
      </c>
      <c r="W29" t="s">
        <v>2004</v>
      </c>
      <c r="X29" t="s">
        <v>2005</v>
      </c>
      <c r="AA29" t="s">
        <v>2006</v>
      </c>
      <c r="AD29" t="s">
        <v>2007</v>
      </c>
      <c r="AG29" t="s">
        <v>1965</v>
      </c>
      <c r="AI29" t="s">
        <v>122</v>
      </c>
      <c r="AK29" t="s">
        <v>313</v>
      </c>
      <c r="AM29">
        <v>0</v>
      </c>
      <c r="AN29">
        <v>0</v>
      </c>
      <c r="AO29">
        <v>18</v>
      </c>
      <c r="AQ29" t="s">
        <v>1985</v>
      </c>
      <c r="AS29">
        <v>1</v>
      </c>
      <c r="AU29">
        <v>0</v>
      </c>
      <c r="AW29">
        <v>0.4</v>
      </c>
    </row>
    <row r="30" spans="5:50" ht="18.75" customHeight="1">
      <c r="E30" t="s">
        <v>122</v>
      </c>
      <c r="G30" t="s">
        <v>328</v>
      </c>
      <c r="I30" t="s">
        <v>2008</v>
      </c>
      <c r="J30">
        <v>1500</v>
      </c>
      <c r="K30">
        <v>0</v>
      </c>
      <c r="L30">
        <v>500</v>
      </c>
      <c r="M30">
        <v>500</v>
      </c>
      <c r="N30">
        <v>500</v>
      </c>
      <c r="O30">
        <v>0</v>
      </c>
      <c r="P30">
        <v>0</v>
      </c>
      <c r="Q30">
        <v>0</v>
      </c>
      <c r="R30" t="s">
        <v>2009</v>
      </c>
      <c r="U30" t="s">
        <v>1993</v>
      </c>
      <c r="W30" t="s">
        <v>2010</v>
      </c>
      <c r="Y30" t="s">
        <v>1975</v>
      </c>
      <c r="AA30" t="s">
        <v>1983</v>
      </c>
      <c r="AB30" t="s">
        <v>1983</v>
      </c>
      <c r="AC30" t="s">
        <v>1983</v>
      </c>
      <c r="AD30" t="s">
        <v>2001</v>
      </c>
      <c r="AE30" t="s">
        <v>1991</v>
      </c>
      <c r="AG30" t="s">
        <v>1965</v>
      </c>
      <c r="AI30" t="s">
        <v>122</v>
      </c>
      <c r="AK30" t="s">
        <v>328</v>
      </c>
      <c r="AM30">
        <v>0</v>
      </c>
      <c r="AN30">
        <v>0</v>
      </c>
      <c r="AO30" t="s">
        <v>2028</v>
      </c>
      <c r="AQ30" t="s">
        <v>1985</v>
      </c>
      <c r="AS30">
        <v>1</v>
      </c>
      <c r="AU30">
        <v>0</v>
      </c>
      <c r="AW30">
        <v>1</v>
      </c>
    </row>
    <row r="31" spans="5:50" ht="18.75" customHeight="1">
      <c r="E31" t="s">
        <v>122</v>
      </c>
      <c r="G31" t="s">
        <v>346</v>
      </c>
      <c r="H31">
        <v>0</v>
      </c>
      <c r="I31" t="s">
        <v>1928</v>
      </c>
      <c r="J31">
        <v>215</v>
      </c>
      <c r="K31">
        <v>0</v>
      </c>
      <c r="L31">
        <v>50</v>
      </c>
      <c r="M31">
        <v>100</v>
      </c>
      <c r="N31">
        <v>65</v>
      </c>
      <c r="O31">
        <v>0</v>
      </c>
      <c r="P31">
        <v>0</v>
      </c>
      <c r="Q31">
        <v>0</v>
      </c>
      <c r="S31" t="s">
        <v>2011</v>
      </c>
      <c r="T31" t="s">
        <v>2011</v>
      </c>
      <c r="U31" t="s">
        <v>1039</v>
      </c>
      <c r="V31" t="s">
        <v>2012</v>
      </c>
      <c r="W31" t="s">
        <v>2004</v>
      </c>
      <c r="X31" t="s">
        <v>2005</v>
      </c>
      <c r="AA31" t="s">
        <v>2013</v>
      </c>
      <c r="AD31" t="s">
        <v>2001</v>
      </c>
      <c r="AG31" t="s">
        <v>1965</v>
      </c>
      <c r="AI31" t="s">
        <v>122</v>
      </c>
      <c r="AK31" t="s">
        <v>346</v>
      </c>
      <c r="AM31">
        <v>0</v>
      </c>
      <c r="AN31">
        <v>0</v>
      </c>
      <c r="AO31">
        <v>18</v>
      </c>
      <c r="AQ31" t="s">
        <v>1985</v>
      </c>
      <c r="AS31">
        <v>1</v>
      </c>
      <c r="AU31">
        <v>0</v>
      </c>
      <c r="AW31">
        <v>0.4</v>
      </c>
    </row>
    <row r="32" spans="5:50" ht="18.75" customHeight="1">
      <c r="E32" t="s">
        <v>122</v>
      </c>
      <c r="G32" t="s">
        <v>360</v>
      </c>
      <c r="I32" t="s">
        <v>1928</v>
      </c>
      <c r="J32">
        <v>150</v>
      </c>
      <c r="K32">
        <v>0</v>
      </c>
      <c r="L32">
        <v>50</v>
      </c>
      <c r="M32">
        <v>50</v>
      </c>
      <c r="N32">
        <v>50</v>
      </c>
      <c r="O32">
        <v>0</v>
      </c>
      <c r="P32">
        <v>0</v>
      </c>
      <c r="Q32">
        <v>0</v>
      </c>
      <c r="R32" t="s">
        <v>2014</v>
      </c>
      <c r="U32" t="s">
        <v>1993</v>
      </c>
      <c r="W32" t="s">
        <v>2015</v>
      </c>
      <c r="Y32" t="s">
        <v>1975</v>
      </c>
      <c r="AA32" t="s">
        <v>1983</v>
      </c>
      <c r="AB32" t="s">
        <v>1983</v>
      </c>
      <c r="AC32" t="s">
        <v>1983</v>
      </c>
      <c r="AD32" t="s">
        <v>2001</v>
      </c>
      <c r="AE32" t="s">
        <v>2016</v>
      </c>
      <c r="AG32" t="s">
        <v>1965</v>
      </c>
      <c r="AI32" t="s">
        <v>122</v>
      </c>
      <c r="AK32" t="s">
        <v>360</v>
      </c>
      <c r="AM32">
        <v>0</v>
      </c>
      <c r="AN32">
        <v>0</v>
      </c>
      <c r="AO32">
        <v>10</v>
      </c>
      <c r="AQ32" t="s">
        <v>1985</v>
      </c>
      <c r="AS32">
        <v>1</v>
      </c>
      <c r="AU32">
        <v>0</v>
      </c>
      <c r="AW32">
        <v>1</v>
      </c>
    </row>
    <row r="33" spans="5:50" ht="18.75" customHeight="1">
      <c r="E33" t="s">
        <v>122</v>
      </c>
      <c r="G33" t="s">
        <v>372</v>
      </c>
      <c r="I33" t="s">
        <v>1928</v>
      </c>
      <c r="J33">
        <v>110</v>
      </c>
      <c r="K33">
        <v>0</v>
      </c>
      <c r="L33">
        <v>30</v>
      </c>
      <c r="M33">
        <v>40</v>
      </c>
      <c r="N33">
        <v>40</v>
      </c>
      <c r="O33">
        <v>0</v>
      </c>
      <c r="P33">
        <v>0</v>
      </c>
      <c r="Q33">
        <v>0</v>
      </c>
      <c r="U33" t="s">
        <v>2017</v>
      </c>
      <c r="W33" t="s">
        <v>2004</v>
      </c>
      <c r="Y33" t="s">
        <v>1975</v>
      </c>
      <c r="AA33" t="s">
        <v>1983</v>
      </c>
      <c r="AB33" t="s">
        <v>1983</v>
      </c>
      <c r="AC33" t="s">
        <v>1983</v>
      </c>
      <c r="AD33" t="s">
        <v>2018</v>
      </c>
      <c r="AE33" t="s">
        <v>2019</v>
      </c>
      <c r="AG33" t="s">
        <v>2029</v>
      </c>
      <c r="AI33" t="s">
        <v>122</v>
      </c>
      <c r="AK33" t="s">
        <v>372</v>
      </c>
      <c r="AM33">
        <v>0</v>
      </c>
      <c r="AN33">
        <v>0</v>
      </c>
      <c r="AO33">
        <v>9</v>
      </c>
      <c r="AQ33" t="s">
        <v>1985</v>
      </c>
      <c r="AS33">
        <v>1</v>
      </c>
      <c r="AU33">
        <v>0</v>
      </c>
      <c r="AW33">
        <v>1</v>
      </c>
    </row>
    <row r="34" spans="5:50" ht="18.75" customHeight="1">
      <c r="E34" t="s">
        <v>122</v>
      </c>
      <c r="G34" t="s">
        <v>387</v>
      </c>
      <c r="I34" t="s">
        <v>1928</v>
      </c>
      <c r="J34">
        <v>100</v>
      </c>
      <c r="K34">
        <v>0</v>
      </c>
      <c r="L34">
        <v>20</v>
      </c>
      <c r="M34">
        <v>40</v>
      </c>
      <c r="N34">
        <v>40</v>
      </c>
      <c r="O34">
        <v>0</v>
      </c>
      <c r="P34">
        <v>0</v>
      </c>
      <c r="Q34">
        <v>0</v>
      </c>
      <c r="R34" t="s">
        <v>2020</v>
      </c>
      <c r="U34" t="s">
        <v>2021</v>
      </c>
      <c r="W34" t="s">
        <v>2004</v>
      </c>
      <c r="Y34" t="s">
        <v>1975</v>
      </c>
      <c r="AA34" t="s">
        <v>1983</v>
      </c>
      <c r="AB34" t="s">
        <v>1983</v>
      </c>
      <c r="AC34" t="s">
        <v>1983</v>
      </c>
      <c r="AD34" t="s">
        <v>2022</v>
      </c>
      <c r="AE34" t="s">
        <v>1985</v>
      </c>
      <c r="AK34" t="s">
        <v>387</v>
      </c>
      <c r="AM34">
        <v>0</v>
      </c>
      <c r="AN34">
        <v>0</v>
      </c>
      <c r="AO34">
        <v>55</v>
      </c>
      <c r="AQ34" t="s">
        <v>2030</v>
      </c>
      <c r="AS34">
        <v>1</v>
      </c>
      <c r="AU34">
        <v>0</v>
      </c>
      <c r="AW34">
        <v>1</v>
      </c>
    </row>
    <row r="35" spans="5:50" ht="18.75" customHeight="1">
      <c r="E35" t="s">
        <v>122</v>
      </c>
      <c r="G35" t="s">
        <v>407</v>
      </c>
      <c r="I35" t="s">
        <v>2008</v>
      </c>
      <c r="J35">
        <v>1000</v>
      </c>
      <c r="K35">
        <v>0</v>
      </c>
      <c r="L35">
        <v>500</v>
      </c>
      <c r="M35">
        <v>500</v>
      </c>
      <c r="N35">
        <v>0</v>
      </c>
      <c r="O35">
        <v>0</v>
      </c>
      <c r="P35">
        <v>0</v>
      </c>
      <c r="Q35">
        <v>0</v>
      </c>
      <c r="R35" t="s">
        <v>2023</v>
      </c>
      <c r="U35" t="s">
        <v>2024</v>
      </c>
      <c r="W35" t="s">
        <v>2025</v>
      </c>
      <c r="Y35" t="s">
        <v>1975</v>
      </c>
      <c r="AA35" t="s">
        <v>1983</v>
      </c>
      <c r="AB35" t="s">
        <v>1983</v>
      </c>
      <c r="AC35" t="s">
        <v>1983</v>
      </c>
      <c r="AD35" t="s">
        <v>2026</v>
      </c>
      <c r="AE35" t="s">
        <v>1985</v>
      </c>
      <c r="AK35" t="s">
        <v>407</v>
      </c>
      <c r="AM35">
        <v>0</v>
      </c>
      <c r="AN35">
        <v>0</v>
      </c>
      <c r="AO35">
        <v>21</v>
      </c>
      <c r="AQ35" t="s">
        <v>2031</v>
      </c>
      <c r="AS35">
        <v>1</v>
      </c>
      <c r="AU35">
        <v>0</v>
      </c>
      <c r="AW35">
        <v>1</v>
      </c>
    </row>
    <row r="36" spans="5:50" ht="18.75" customHeight="1">
      <c r="AG36" t="s">
        <v>1944</v>
      </c>
    </row>
    <row r="37" spans="5:50" ht="18.75" customHeight="1">
      <c r="E37" t="s">
        <v>1901</v>
      </c>
      <c r="AG37" t="s">
        <v>2487</v>
      </c>
    </row>
    <row r="38" spans="5:50" ht="18.75" customHeight="1">
      <c r="E38" t="s">
        <v>1902</v>
      </c>
      <c r="F38" t="s">
        <v>1903</v>
      </c>
      <c r="G38" t="s">
        <v>1904</v>
      </c>
      <c r="H38" t="s">
        <v>1905</v>
      </c>
      <c r="I38" t="s">
        <v>1906</v>
      </c>
      <c r="J38" t="s">
        <v>1907</v>
      </c>
      <c r="K38" t="s">
        <v>1908</v>
      </c>
      <c r="R38" t="s">
        <v>1971</v>
      </c>
      <c r="S38" t="s">
        <v>1909</v>
      </c>
      <c r="T38" t="s">
        <v>1910</v>
      </c>
      <c r="Y38" t="s">
        <v>1911</v>
      </c>
      <c r="Z38" t="s">
        <v>1912</v>
      </c>
      <c r="AG38" t="s">
        <v>1946</v>
      </c>
      <c r="AH38" t="s">
        <v>1947</v>
      </c>
      <c r="AI38" t="s">
        <v>1948</v>
      </c>
      <c r="AJ38" t="s">
        <v>1949</v>
      </c>
      <c r="AK38" t="s">
        <v>1950</v>
      </c>
      <c r="AL38" t="s">
        <v>1951</v>
      </c>
      <c r="AM38" t="s">
        <v>1952</v>
      </c>
      <c r="AS38" t="s">
        <v>1953</v>
      </c>
      <c r="AU38" t="s">
        <v>1954</v>
      </c>
    </row>
    <row r="39" spans="5:50" ht="18.75" customHeight="1">
      <c r="K39">
        <v>2020</v>
      </c>
      <c r="L39">
        <v>2021</v>
      </c>
      <c r="M39">
        <v>2022</v>
      </c>
      <c r="N39">
        <v>2023</v>
      </c>
      <c r="O39">
        <v>2024</v>
      </c>
      <c r="P39">
        <v>2025</v>
      </c>
      <c r="Q39">
        <v>2026</v>
      </c>
      <c r="R39" t="s">
        <v>1913</v>
      </c>
      <c r="U39" t="s">
        <v>1914</v>
      </c>
      <c r="V39" t="s">
        <v>1915</v>
      </c>
      <c r="W39" t="s">
        <v>1916</v>
      </c>
      <c r="X39" t="s">
        <v>1917</v>
      </c>
      <c r="AA39" t="s">
        <v>1918</v>
      </c>
      <c r="AD39" t="s">
        <v>1919</v>
      </c>
      <c r="AM39" t="s">
        <v>1955</v>
      </c>
      <c r="AN39" t="s">
        <v>1956</v>
      </c>
      <c r="AO39" t="s">
        <v>1957</v>
      </c>
      <c r="AP39" t="s">
        <v>1958</v>
      </c>
      <c r="AQ39" t="s">
        <v>1959</v>
      </c>
      <c r="AR39" t="s">
        <v>1959</v>
      </c>
      <c r="AU39" t="s">
        <v>1960</v>
      </c>
      <c r="AV39" t="s">
        <v>1961</v>
      </c>
      <c r="AW39" t="s">
        <v>1962</v>
      </c>
      <c r="AX39" t="s">
        <v>1963</v>
      </c>
    </row>
    <row r="40" spans="5:50" ht="18.75" customHeight="1">
      <c r="R40" t="s">
        <v>1920</v>
      </c>
      <c r="S40" t="s">
        <v>1972</v>
      </c>
      <c r="T40" t="s">
        <v>1921</v>
      </c>
      <c r="AA40" t="s">
        <v>1922</v>
      </c>
      <c r="AB40" t="s">
        <v>1923</v>
      </c>
      <c r="AC40" t="s">
        <v>1924</v>
      </c>
      <c r="AD40" t="s">
        <v>1925</v>
      </c>
      <c r="AE40" t="s">
        <v>1926</v>
      </c>
      <c r="AM40" t="s">
        <v>1964</v>
      </c>
      <c r="AN40" t="s">
        <v>1964</v>
      </c>
    </row>
    <row r="41" spans="5:50" ht="18.75" customHeight="1">
      <c r="E41" t="s">
        <v>2032</v>
      </c>
      <c r="F41">
        <v>0</v>
      </c>
      <c r="G41" t="s">
        <v>2033</v>
      </c>
      <c r="H41">
        <v>0</v>
      </c>
      <c r="I41" t="s">
        <v>1986</v>
      </c>
      <c r="J41">
        <v>5</v>
      </c>
      <c r="K41">
        <v>0</v>
      </c>
      <c r="L41">
        <v>2</v>
      </c>
      <c r="M41">
        <v>1</v>
      </c>
      <c r="N41">
        <v>1</v>
      </c>
      <c r="O41">
        <v>1</v>
      </c>
      <c r="P41">
        <v>0</v>
      </c>
      <c r="Q41">
        <v>0</v>
      </c>
      <c r="R41" t="s">
        <v>2034</v>
      </c>
      <c r="S41" t="s">
        <v>2035</v>
      </c>
      <c r="U41" t="s">
        <v>2036</v>
      </c>
      <c r="W41" t="s">
        <v>1985</v>
      </c>
      <c r="AA41" t="s">
        <v>2037</v>
      </c>
      <c r="AG41" t="s">
        <v>1965</v>
      </c>
      <c r="AI41" t="s">
        <v>2032</v>
      </c>
      <c r="AK41" t="s">
        <v>2033</v>
      </c>
      <c r="AM41">
        <v>0</v>
      </c>
      <c r="AN41">
        <v>0</v>
      </c>
      <c r="AO41" t="s">
        <v>2488</v>
      </c>
      <c r="AQ41" t="s">
        <v>1998</v>
      </c>
      <c r="AR41" t="s">
        <v>2052</v>
      </c>
      <c r="AS41">
        <v>1</v>
      </c>
      <c r="AU41" t="s">
        <v>2489</v>
      </c>
      <c r="AW41" t="s">
        <v>2490</v>
      </c>
    </row>
    <row r="42" spans="5:50" ht="18.75" customHeight="1">
      <c r="E42" t="s">
        <v>2032</v>
      </c>
      <c r="F42">
        <v>0</v>
      </c>
      <c r="G42" t="s">
        <v>2038</v>
      </c>
      <c r="H42">
        <v>0</v>
      </c>
      <c r="I42" t="s">
        <v>1986</v>
      </c>
      <c r="J42">
        <v>200</v>
      </c>
      <c r="K42">
        <v>0</v>
      </c>
      <c r="L42">
        <v>0</v>
      </c>
      <c r="M42">
        <v>60</v>
      </c>
      <c r="N42">
        <v>70</v>
      </c>
      <c r="O42">
        <v>70</v>
      </c>
      <c r="P42">
        <v>0</v>
      </c>
      <c r="Q42">
        <v>0</v>
      </c>
      <c r="R42" t="s">
        <v>2034</v>
      </c>
      <c r="S42" t="s">
        <v>2039</v>
      </c>
      <c r="U42" t="s">
        <v>2040</v>
      </c>
      <c r="W42" t="s">
        <v>1985</v>
      </c>
      <c r="Y42" t="s">
        <v>1975</v>
      </c>
      <c r="AA42" t="s">
        <v>1998</v>
      </c>
      <c r="AB42" t="s">
        <v>2041</v>
      </c>
      <c r="AC42" t="s">
        <v>1983</v>
      </c>
      <c r="AD42" t="s">
        <v>2042</v>
      </c>
      <c r="AE42" t="s">
        <v>2043</v>
      </c>
      <c r="AG42" t="s">
        <v>1965</v>
      </c>
      <c r="AI42" t="s">
        <v>2032</v>
      </c>
      <c r="AK42" t="s">
        <v>2491</v>
      </c>
      <c r="AM42">
        <v>0</v>
      </c>
      <c r="AN42">
        <v>0</v>
      </c>
      <c r="AO42" t="s">
        <v>2488</v>
      </c>
      <c r="AQ42" t="s">
        <v>1998</v>
      </c>
      <c r="AR42" t="s">
        <v>2052</v>
      </c>
      <c r="AS42">
        <v>1</v>
      </c>
      <c r="AU42" t="s">
        <v>2489</v>
      </c>
      <c r="AW42" t="s">
        <v>2490</v>
      </c>
    </row>
    <row r="43" spans="5:50" ht="18.75" customHeight="1">
      <c r="E43" t="s">
        <v>2032</v>
      </c>
      <c r="F43">
        <v>0</v>
      </c>
      <c r="G43" t="s">
        <v>2044</v>
      </c>
      <c r="H43">
        <v>0</v>
      </c>
      <c r="I43" t="s">
        <v>2045</v>
      </c>
      <c r="J43">
        <v>150</v>
      </c>
      <c r="K43">
        <v>0</v>
      </c>
      <c r="L43">
        <v>0</v>
      </c>
      <c r="M43">
        <v>50</v>
      </c>
      <c r="N43">
        <v>50</v>
      </c>
      <c r="O43">
        <v>50</v>
      </c>
      <c r="P43">
        <v>0</v>
      </c>
      <c r="Q43">
        <v>0</v>
      </c>
      <c r="R43" t="s">
        <v>2034</v>
      </c>
      <c r="S43" t="s">
        <v>2039</v>
      </c>
      <c r="U43" t="s">
        <v>2040</v>
      </c>
      <c r="W43" t="s">
        <v>2046</v>
      </c>
      <c r="Y43" t="s">
        <v>1975</v>
      </c>
      <c r="AA43" t="s">
        <v>1983</v>
      </c>
      <c r="AB43" t="s">
        <v>2041</v>
      </c>
      <c r="AC43" t="s">
        <v>1983</v>
      </c>
      <c r="AD43" t="s">
        <v>2047</v>
      </c>
      <c r="AE43" t="s">
        <v>2048</v>
      </c>
      <c r="AG43" t="s">
        <v>1965</v>
      </c>
      <c r="AI43" t="s">
        <v>2032</v>
      </c>
      <c r="AK43" t="s">
        <v>2492</v>
      </c>
      <c r="AM43">
        <v>0</v>
      </c>
      <c r="AN43">
        <v>0</v>
      </c>
      <c r="AO43" t="s">
        <v>2493</v>
      </c>
      <c r="AQ43" t="s">
        <v>1998</v>
      </c>
      <c r="AR43" t="s">
        <v>2052</v>
      </c>
      <c r="AS43">
        <v>1</v>
      </c>
      <c r="AU43" t="s">
        <v>2489</v>
      </c>
      <c r="AW43" t="s">
        <v>2490</v>
      </c>
    </row>
    <row r="44" spans="5:50" ht="18.75" customHeight="1">
      <c r="E44" t="s">
        <v>2032</v>
      </c>
      <c r="F44">
        <v>0</v>
      </c>
      <c r="G44" t="s">
        <v>2049</v>
      </c>
      <c r="H44">
        <v>0</v>
      </c>
      <c r="I44" t="s">
        <v>2008</v>
      </c>
      <c r="J44">
        <v>5000</v>
      </c>
      <c r="K44">
        <v>0</v>
      </c>
      <c r="L44">
        <v>1000</v>
      </c>
      <c r="M44">
        <v>1000</v>
      </c>
      <c r="N44">
        <v>1000</v>
      </c>
      <c r="O44">
        <v>1000</v>
      </c>
      <c r="P44">
        <v>1000</v>
      </c>
      <c r="Q44">
        <v>0</v>
      </c>
      <c r="S44" t="s">
        <v>2050</v>
      </c>
      <c r="U44" t="s">
        <v>2036</v>
      </c>
      <c r="W44" t="s">
        <v>2046</v>
      </c>
      <c r="Y44" t="s">
        <v>1975</v>
      </c>
      <c r="AA44" t="s">
        <v>1998</v>
      </c>
      <c r="AB44" t="s">
        <v>2041</v>
      </c>
      <c r="AC44" t="s">
        <v>1983</v>
      </c>
      <c r="AD44" t="s">
        <v>2042</v>
      </c>
      <c r="AE44" t="s">
        <v>2051</v>
      </c>
      <c r="AG44" t="s">
        <v>1965</v>
      </c>
      <c r="AI44" t="s">
        <v>2032</v>
      </c>
      <c r="AK44" t="s">
        <v>2049</v>
      </c>
      <c r="AM44">
        <v>0</v>
      </c>
      <c r="AN44">
        <v>0</v>
      </c>
      <c r="AO44" t="s">
        <v>2488</v>
      </c>
      <c r="AQ44" t="s">
        <v>1998</v>
      </c>
      <c r="AR44" t="s">
        <v>2052</v>
      </c>
      <c r="AS44">
        <v>1</v>
      </c>
      <c r="AU44" t="s">
        <v>2489</v>
      </c>
      <c r="AW44" t="s">
        <v>2490</v>
      </c>
    </row>
    <row r="46" spans="5:50" ht="18.75" customHeight="1">
      <c r="AG46" t="s">
        <v>1944</v>
      </c>
    </row>
    <row r="47" spans="5:50" ht="18.75" customHeight="1">
      <c r="AG47" t="s">
        <v>1945</v>
      </c>
    </row>
    <row r="48" spans="5:50" ht="18.75" customHeight="1">
      <c r="E48" t="s">
        <v>1901</v>
      </c>
      <c r="AG48" t="s">
        <v>1946</v>
      </c>
      <c r="AH48" t="s">
        <v>1947</v>
      </c>
      <c r="AI48" t="s">
        <v>1948</v>
      </c>
      <c r="AJ48" t="s">
        <v>1949</v>
      </c>
      <c r="AK48" t="s">
        <v>1950</v>
      </c>
      <c r="AL48" t="s">
        <v>1951</v>
      </c>
      <c r="AM48" t="s">
        <v>1952</v>
      </c>
      <c r="AS48" t="s">
        <v>1953</v>
      </c>
      <c r="AU48" t="s">
        <v>1954</v>
      </c>
    </row>
    <row r="49" spans="5:50" ht="18.75" customHeight="1">
      <c r="E49" t="s">
        <v>1902</v>
      </c>
      <c r="F49" t="s">
        <v>1903</v>
      </c>
      <c r="G49" t="s">
        <v>1904</v>
      </c>
      <c r="H49" t="s">
        <v>1905</v>
      </c>
      <c r="I49" t="s">
        <v>1906</v>
      </c>
      <c r="J49" t="s">
        <v>1907</v>
      </c>
      <c r="K49" t="s">
        <v>1908</v>
      </c>
      <c r="R49" t="s">
        <v>1971</v>
      </c>
      <c r="S49" t="s">
        <v>1909</v>
      </c>
      <c r="T49" t="s">
        <v>1910</v>
      </c>
      <c r="Y49" t="s">
        <v>1911</v>
      </c>
      <c r="Z49" t="s">
        <v>1912</v>
      </c>
    </row>
    <row r="50" spans="5:50" ht="18.75" customHeight="1">
      <c r="R50" t="s">
        <v>1913</v>
      </c>
      <c r="U50" t="s">
        <v>1914</v>
      </c>
      <c r="V50" t="s">
        <v>1915</v>
      </c>
      <c r="W50" t="s">
        <v>1916</v>
      </c>
      <c r="X50" t="s">
        <v>1917</v>
      </c>
      <c r="AA50" t="s">
        <v>1918</v>
      </c>
      <c r="AD50" t="s">
        <v>1919</v>
      </c>
      <c r="AM50" t="s">
        <v>1955</v>
      </c>
      <c r="AN50" t="s">
        <v>1956</v>
      </c>
      <c r="AO50" t="s">
        <v>1957</v>
      </c>
      <c r="AP50" t="s">
        <v>1958</v>
      </c>
      <c r="AQ50" t="s">
        <v>1959</v>
      </c>
      <c r="AR50" t="s">
        <v>1959</v>
      </c>
      <c r="AU50" t="s">
        <v>1960</v>
      </c>
      <c r="AV50" t="s">
        <v>1961</v>
      </c>
      <c r="AW50" t="s">
        <v>1962</v>
      </c>
      <c r="AX50" t="s">
        <v>1963</v>
      </c>
    </row>
    <row r="51" spans="5:50" ht="18.75" customHeight="1">
      <c r="K51">
        <v>2020</v>
      </c>
      <c r="L51">
        <v>2021</v>
      </c>
      <c r="M51">
        <v>2022</v>
      </c>
      <c r="N51">
        <v>2023</v>
      </c>
      <c r="O51">
        <v>2024</v>
      </c>
      <c r="P51">
        <v>2025</v>
      </c>
      <c r="Q51">
        <v>2026</v>
      </c>
      <c r="R51" t="s">
        <v>1920</v>
      </c>
      <c r="S51" t="s">
        <v>1972</v>
      </c>
      <c r="T51" t="s">
        <v>1921</v>
      </c>
      <c r="AA51" t="s">
        <v>1922</v>
      </c>
      <c r="AB51" t="s">
        <v>1923</v>
      </c>
      <c r="AC51" t="s">
        <v>1924</v>
      </c>
      <c r="AD51" t="s">
        <v>1925</v>
      </c>
      <c r="AE51" t="s">
        <v>1926</v>
      </c>
      <c r="AM51" t="s">
        <v>1964</v>
      </c>
      <c r="AN51" t="s">
        <v>1964</v>
      </c>
      <c r="AT51" t="s">
        <v>1964</v>
      </c>
    </row>
    <row r="52" spans="5:50" ht="18.75" customHeight="1">
      <c r="E52" t="s">
        <v>2053</v>
      </c>
      <c r="F52">
        <v>0</v>
      </c>
      <c r="G52" t="s">
        <v>472</v>
      </c>
      <c r="I52" t="s">
        <v>1928</v>
      </c>
      <c r="J52">
        <v>760</v>
      </c>
      <c r="K52">
        <v>0</v>
      </c>
      <c r="L52">
        <v>30</v>
      </c>
      <c r="M52">
        <v>365</v>
      </c>
      <c r="N52">
        <v>365</v>
      </c>
      <c r="O52">
        <v>0</v>
      </c>
      <c r="P52">
        <v>0</v>
      </c>
      <c r="Q52">
        <v>0</v>
      </c>
      <c r="R52">
        <v>0</v>
      </c>
      <c r="S52">
        <v>0</v>
      </c>
      <c r="T52">
        <v>0</v>
      </c>
      <c r="U52">
        <v>0</v>
      </c>
      <c r="V52">
        <v>0</v>
      </c>
      <c r="W52">
        <v>0</v>
      </c>
      <c r="X52">
        <v>0</v>
      </c>
      <c r="Y52" t="s">
        <v>2054</v>
      </c>
      <c r="AA52" t="s">
        <v>129</v>
      </c>
      <c r="AB52" t="s">
        <v>129</v>
      </c>
      <c r="AC52" t="s">
        <v>129</v>
      </c>
      <c r="AG52" t="s">
        <v>1965</v>
      </c>
      <c r="AI52" t="s">
        <v>2053</v>
      </c>
      <c r="AK52" t="s">
        <v>472</v>
      </c>
      <c r="AM52">
        <v>0</v>
      </c>
      <c r="AN52">
        <v>0</v>
      </c>
      <c r="AO52" t="s">
        <v>2062</v>
      </c>
      <c r="AP52">
        <v>143</v>
      </c>
      <c r="AQ52" t="s">
        <v>1040</v>
      </c>
      <c r="AS52">
        <v>1</v>
      </c>
      <c r="AT52" t="s">
        <v>2063</v>
      </c>
      <c r="AW52" t="s">
        <v>2064</v>
      </c>
    </row>
    <row r="53" spans="5:50" ht="18.75" customHeight="1">
      <c r="E53" t="s">
        <v>2053</v>
      </c>
      <c r="F53">
        <v>0</v>
      </c>
      <c r="G53" t="s">
        <v>2055</v>
      </c>
      <c r="H53">
        <v>0</v>
      </c>
      <c r="I53" t="s">
        <v>1973</v>
      </c>
      <c r="J53">
        <v>3400</v>
      </c>
      <c r="K53">
        <v>0</v>
      </c>
      <c r="L53">
        <v>50</v>
      </c>
      <c r="M53">
        <v>1640</v>
      </c>
      <c r="N53">
        <v>1630</v>
      </c>
      <c r="O53">
        <v>40</v>
      </c>
      <c r="P53">
        <v>40</v>
      </c>
      <c r="Q53">
        <v>0</v>
      </c>
      <c r="R53">
        <v>0</v>
      </c>
      <c r="S53">
        <v>0</v>
      </c>
      <c r="T53">
        <v>0</v>
      </c>
      <c r="U53">
        <v>0</v>
      </c>
      <c r="V53">
        <v>0</v>
      </c>
      <c r="W53">
        <v>0</v>
      </c>
      <c r="X53">
        <v>0</v>
      </c>
      <c r="Y53" t="s">
        <v>2056</v>
      </c>
      <c r="AA53" t="s">
        <v>129</v>
      </c>
      <c r="AB53" t="s">
        <v>129</v>
      </c>
      <c r="AC53" t="s">
        <v>129</v>
      </c>
      <c r="AE53" t="s">
        <v>56</v>
      </c>
      <c r="AG53" t="s">
        <v>1965</v>
      </c>
      <c r="AI53" t="s">
        <v>2053</v>
      </c>
      <c r="AK53" t="s">
        <v>2055</v>
      </c>
      <c r="AM53">
        <v>0</v>
      </c>
      <c r="AN53">
        <v>0</v>
      </c>
      <c r="AO53" t="s">
        <v>2065</v>
      </c>
      <c r="AP53">
        <v>129</v>
      </c>
      <c r="AQ53" t="s">
        <v>1040</v>
      </c>
      <c r="AS53">
        <v>0</v>
      </c>
    </row>
    <row r="54" spans="5:50" ht="18.75" customHeight="1">
      <c r="E54" t="s">
        <v>2053</v>
      </c>
      <c r="F54">
        <v>0</v>
      </c>
      <c r="G54" t="s">
        <v>494</v>
      </c>
      <c r="I54" t="s">
        <v>1973</v>
      </c>
      <c r="J54">
        <v>1010</v>
      </c>
      <c r="K54">
        <v>0</v>
      </c>
      <c r="L54">
        <v>5</v>
      </c>
      <c r="M54">
        <v>300</v>
      </c>
      <c r="N54">
        <v>235</v>
      </c>
      <c r="O54">
        <v>235</v>
      </c>
      <c r="P54">
        <v>235</v>
      </c>
      <c r="Q54">
        <v>0</v>
      </c>
      <c r="R54">
        <v>0</v>
      </c>
      <c r="S54">
        <v>0</v>
      </c>
      <c r="T54">
        <v>0</v>
      </c>
      <c r="U54">
        <v>0</v>
      </c>
      <c r="V54">
        <v>0</v>
      </c>
      <c r="W54">
        <v>0</v>
      </c>
      <c r="X54">
        <v>0</v>
      </c>
      <c r="Y54" t="s">
        <v>2056</v>
      </c>
      <c r="AA54" t="s">
        <v>129</v>
      </c>
      <c r="AB54" t="s">
        <v>129</v>
      </c>
      <c r="AC54" t="s">
        <v>129</v>
      </c>
      <c r="AD54" t="s">
        <v>56</v>
      </c>
      <c r="AE54" t="s">
        <v>56</v>
      </c>
      <c r="AG54" t="s">
        <v>1965</v>
      </c>
      <c r="AI54" t="s">
        <v>2053</v>
      </c>
      <c r="AK54" t="s">
        <v>494</v>
      </c>
      <c r="AM54">
        <v>0</v>
      </c>
      <c r="AN54">
        <v>0</v>
      </c>
      <c r="AO54" t="s">
        <v>2065</v>
      </c>
      <c r="AP54">
        <v>129</v>
      </c>
      <c r="AQ54" t="s">
        <v>1040</v>
      </c>
      <c r="AS54">
        <v>1</v>
      </c>
      <c r="AT54" t="s">
        <v>2063</v>
      </c>
      <c r="AW54" t="s">
        <v>2066</v>
      </c>
    </row>
    <row r="55" spans="5:50" ht="18.75" customHeight="1">
      <c r="E55" t="s">
        <v>2053</v>
      </c>
      <c r="F55" t="e">
        <v>#REF!</v>
      </c>
      <c r="G55" t="s">
        <v>501</v>
      </c>
      <c r="I55" t="s">
        <v>1986</v>
      </c>
      <c r="J55">
        <v>750</v>
      </c>
      <c r="K55">
        <v>0</v>
      </c>
      <c r="L55">
        <v>150</v>
      </c>
      <c r="M55">
        <v>150</v>
      </c>
      <c r="N55">
        <v>150</v>
      </c>
      <c r="O55">
        <v>150</v>
      </c>
      <c r="P55">
        <v>150</v>
      </c>
      <c r="Q55">
        <v>0</v>
      </c>
      <c r="R55">
        <v>0</v>
      </c>
      <c r="S55">
        <v>0</v>
      </c>
      <c r="T55">
        <v>0</v>
      </c>
      <c r="U55">
        <v>0</v>
      </c>
      <c r="V55">
        <v>0</v>
      </c>
      <c r="W55">
        <v>0</v>
      </c>
      <c r="X55">
        <v>0</v>
      </c>
      <c r="Y55" t="s">
        <v>2056</v>
      </c>
      <c r="AA55" t="s">
        <v>129</v>
      </c>
      <c r="AB55" t="s">
        <v>129</v>
      </c>
      <c r="AC55" t="s">
        <v>129</v>
      </c>
      <c r="AD55" t="s">
        <v>56</v>
      </c>
      <c r="AE55" t="s">
        <v>56</v>
      </c>
      <c r="AG55" t="s">
        <v>1965</v>
      </c>
      <c r="AI55" t="s">
        <v>2053</v>
      </c>
      <c r="AK55" t="s">
        <v>501</v>
      </c>
      <c r="AM55">
        <v>0</v>
      </c>
      <c r="AN55">
        <v>0</v>
      </c>
      <c r="AO55" t="s">
        <v>2065</v>
      </c>
      <c r="AP55">
        <v>129</v>
      </c>
      <c r="AQ55" t="s">
        <v>1040</v>
      </c>
      <c r="AS55">
        <v>0</v>
      </c>
    </row>
    <row r="56" spans="5:50" ht="18.75" customHeight="1">
      <c r="E56" t="s">
        <v>2053</v>
      </c>
      <c r="F56" t="e">
        <v>#REF!</v>
      </c>
      <c r="G56" t="s">
        <v>507</v>
      </c>
      <c r="I56" t="s">
        <v>1986</v>
      </c>
      <c r="J56">
        <v>600</v>
      </c>
      <c r="K56">
        <v>0</v>
      </c>
      <c r="L56">
        <v>60</v>
      </c>
      <c r="M56">
        <v>180</v>
      </c>
      <c r="N56">
        <v>180</v>
      </c>
      <c r="O56">
        <v>180</v>
      </c>
      <c r="P56">
        <v>0</v>
      </c>
      <c r="Q56">
        <v>0</v>
      </c>
      <c r="R56">
        <v>0</v>
      </c>
      <c r="S56">
        <v>0</v>
      </c>
      <c r="T56">
        <v>0</v>
      </c>
      <c r="U56">
        <v>0</v>
      </c>
      <c r="V56">
        <v>0</v>
      </c>
      <c r="W56">
        <v>0</v>
      </c>
      <c r="X56">
        <v>0</v>
      </c>
      <c r="Y56" t="s">
        <v>2056</v>
      </c>
      <c r="AA56" t="s">
        <v>129</v>
      </c>
      <c r="AB56" t="s">
        <v>129</v>
      </c>
      <c r="AC56" t="s">
        <v>129</v>
      </c>
      <c r="AG56" t="s">
        <v>1965</v>
      </c>
      <c r="AI56" t="s">
        <v>2053</v>
      </c>
      <c r="AK56" t="s">
        <v>2067</v>
      </c>
      <c r="AM56">
        <v>0</v>
      </c>
      <c r="AN56">
        <v>0</v>
      </c>
      <c r="AO56" t="s">
        <v>2068</v>
      </c>
      <c r="AP56" t="s">
        <v>2069</v>
      </c>
      <c r="AQ56" t="s">
        <v>1040</v>
      </c>
      <c r="AS56">
        <v>0.4</v>
      </c>
      <c r="AT56" t="s">
        <v>2070</v>
      </c>
      <c r="AW56" t="s">
        <v>2071</v>
      </c>
    </row>
    <row r="57" spans="5:50" ht="18.75" customHeight="1">
      <c r="E57" t="s">
        <v>2053</v>
      </c>
      <c r="F57">
        <v>0</v>
      </c>
      <c r="G57" t="s">
        <v>516</v>
      </c>
      <c r="I57" t="s">
        <v>1986</v>
      </c>
      <c r="J57">
        <v>830</v>
      </c>
      <c r="K57">
        <v>0</v>
      </c>
      <c r="L57">
        <v>30</v>
      </c>
      <c r="M57">
        <v>190</v>
      </c>
      <c r="N57">
        <v>205</v>
      </c>
      <c r="O57">
        <v>205</v>
      </c>
      <c r="P57">
        <v>200</v>
      </c>
      <c r="Q57">
        <v>0</v>
      </c>
      <c r="R57">
        <v>0</v>
      </c>
      <c r="S57">
        <v>0</v>
      </c>
      <c r="T57">
        <v>0</v>
      </c>
      <c r="U57">
        <v>0</v>
      </c>
      <c r="V57">
        <v>0</v>
      </c>
      <c r="W57">
        <v>0</v>
      </c>
      <c r="X57">
        <v>0</v>
      </c>
      <c r="Y57" t="s">
        <v>2057</v>
      </c>
      <c r="AA57" t="s">
        <v>129</v>
      </c>
      <c r="AB57" t="s">
        <v>129</v>
      </c>
      <c r="AC57" t="s">
        <v>129</v>
      </c>
      <c r="AD57" t="s">
        <v>2058</v>
      </c>
      <c r="AE57" t="s">
        <v>2058</v>
      </c>
      <c r="AI57" t="s">
        <v>2053</v>
      </c>
      <c r="AK57" t="s">
        <v>516</v>
      </c>
      <c r="AM57">
        <v>0</v>
      </c>
      <c r="AN57">
        <v>0</v>
      </c>
      <c r="AO57" t="s">
        <v>2072</v>
      </c>
      <c r="AP57" t="s">
        <v>2073</v>
      </c>
      <c r="AQ57" t="s">
        <v>1040</v>
      </c>
      <c r="AS57">
        <v>0.4</v>
      </c>
      <c r="AT57" t="s">
        <v>2074</v>
      </c>
      <c r="AW57" t="s">
        <v>2075</v>
      </c>
    </row>
    <row r="58" spans="5:50" ht="18.75" customHeight="1">
      <c r="E58" t="s">
        <v>2053</v>
      </c>
      <c r="G58" t="s">
        <v>2059</v>
      </c>
      <c r="I58" t="s">
        <v>1986</v>
      </c>
      <c r="J58">
        <v>800</v>
      </c>
      <c r="K58">
        <v>0</v>
      </c>
      <c r="L58">
        <v>800</v>
      </c>
      <c r="M58">
        <v>0</v>
      </c>
      <c r="N58">
        <v>0</v>
      </c>
      <c r="O58">
        <v>0</v>
      </c>
      <c r="P58">
        <v>0</v>
      </c>
      <c r="Q58">
        <v>0</v>
      </c>
      <c r="R58">
        <v>0</v>
      </c>
      <c r="AI58" t="s">
        <v>2053</v>
      </c>
      <c r="AK58" t="s">
        <v>523</v>
      </c>
      <c r="AM58">
        <v>0</v>
      </c>
      <c r="AN58">
        <v>0</v>
      </c>
      <c r="AO58" t="s">
        <v>2062</v>
      </c>
      <c r="AP58" t="s">
        <v>2076</v>
      </c>
      <c r="AQ58" t="s">
        <v>1040</v>
      </c>
      <c r="AS58">
        <v>0</v>
      </c>
    </row>
    <row r="59" spans="5:50" ht="18.75" customHeight="1">
      <c r="E59" t="s">
        <v>2053</v>
      </c>
      <c r="G59" t="s">
        <v>527</v>
      </c>
      <c r="I59" t="s">
        <v>1973</v>
      </c>
      <c r="J59">
        <v>0</v>
      </c>
      <c r="AI59" t="s">
        <v>2053</v>
      </c>
      <c r="AK59" t="s">
        <v>527</v>
      </c>
      <c r="AM59">
        <v>0</v>
      </c>
      <c r="AN59">
        <v>0</v>
      </c>
      <c r="AO59" t="s">
        <v>2062</v>
      </c>
      <c r="AP59">
        <v>143</v>
      </c>
      <c r="AQ59" t="s">
        <v>1040</v>
      </c>
      <c r="AS59">
        <v>0</v>
      </c>
    </row>
    <row r="60" spans="5:50" ht="18.75" customHeight="1">
      <c r="E60" t="s">
        <v>2053</v>
      </c>
      <c r="G60" t="s">
        <v>530</v>
      </c>
      <c r="I60" t="s">
        <v>1986</v>
      </c>
      <c r="J60">
        <v>0</v>
      </c>
      <c r="AI60" t="s">
        <v>2053</v>
      </c>
      <c r="AK60" t="s">
        <v>530</v>
      </c>
      <c r="AM60">
        <v>0</v>
      </c>
      <c r="AN60">
        <v>0</v>
      </c>
      <c r="AO60" t="s">
        <v>2062</v>
      </c>
      <c r="AP60">
        <v>143</v>
      </c>
      <c r="AQ60" t="s">
        <v>1040</v>
      </c>
      <c r="AS60">
        <v>0</v>
      </c>
    </row>
    <row r="61" spans="5:50" ht="18.75" customHeight="1">
      <c r="J61">
        <v>8150</v>
      </c>
      <c r="K61">
        <v>0</v>
      </c>
      <c r="L61">
        <v>1095</v>
      </c>
      <c r="M61">
        <v>2460</v>
      </c>
      <c r="N61">
        <v>2400</v>
      </c>
      <c r="O61">
        <v>810</v>
      </c>
      <c r="P61">
        <v>625</v>
      </c>
      <c r="Q61">
        <v>0</v>
      </c>
      <c r="R61">
        <v>0</v>
      </c>
      <c r="S61">
        <v>0</v>
      </c>
      <c r="T61">
        <v>0</v>
      </c>
      <c r="U61">
        <v>0</v>
      </c>
      <c r="V61">
        <v>0</v>
      </c>
      <c r="W61">
        <v>0</v>
      </c>
      <c r="X61">
        <v>0</v>
      </c>
    </row>
    <row r="62" spans="5:50" ht="18.75" customHeight="1">
      <c r="E62" t="s">
        <v>2060</v>
      </c>
      <c r="G62" t="s">
        <v>2061</v>
      </c>
      <c r="I62" t="s">
        <v>1986</v>
      </c>
      <c r="J62">
        <v>82</v>
      </c>
      <c r="K62">
        <v>0</v>
      </c>
      <c r="L62">
        <v>8</v>
      </c>
      <c r="M62">
        <v>32</v>
      </c>
      <c r="N62">
        <v>17</v>
      </c>
      <c r="O62">
        <v>18</v>
      </c>
      <c r="P62">
        <v>7</v>
      </c>
      <c r="Q62">
        <v>0</v>
      </c>
      <c r="R62">
        <v>0</v>
      </c>
    </row>
    <row r="63" spans="5:50" ht="18.75" customHeight="1">
      <c r="AG63" t="s">
        <v>1944</v>
      </c>
    </row>
    <row r="64" spans="5:50" ht="18.75" customHeight="1">
      <c r="AG64" t="s">
        <v>1945</v>
      </c>
    </row>
    <row r="65" spans="5:50" ht="18.75" customHeight="1">
      <c r="E65" t="s">
        <v>1901</v>
      </c>
      <c r="AG65" t="s">
        <v>1946</v>
      </c>
      <c r="AH65" t="s">
        <v>1947</v>
      </c>
      <c r="AI65" t="s">
        <v>1948</v>
      </c>
      <c r="AJ65" t="s">
        <v>1949</v>
      </c>
      <c r="AK65" t="s">
        <v>1950</v>
      </c>
      <c r="AL65" t="s">
        <v>1951</v>
      </c>
      <c r="AM65" t="s">
        <v>1952</v>
      </c>
      <c r="AS65" t="s">
        <v>1953</v>
      </c>
      <c r="AU65" t="s">
        <v>1954</v>
      </c>
    </row>
    <row r="66" spans="5:50" ht="18.75" customHeight="1">
      <c r="E66" t="s">
        <v>1902</v>
      </c>
      <c r="F66" t="s">
        <v>1903</v>
      </c>
      <c r="G66" t="s">
        <v>1904</v>
      </c>
      <c r="H66" t="s">
        <v>1905</v>
      </c>
      <c r="I66" t="s">
        <v>1906</v>
      </c>
      <c r="J66" t="s">
        <v>1907</v>
      </c>
      <c r="K66" t="s">
        <v>1908</v>
      </c>
      <c r="R66" t="s">
        <v>1971</v>
      </c>
      <c r="S66" t="s">
        <v>1909</v>
      </c>
      <c r="T66" t="s">
        <v>1910</v>
      </c>
      <c r="Y66" t="s">
        <v>1911</v>
      </c>
      <c r="Z66" t="s">
        <v>1912</v>
      </c>
    </row>
    <row r="67" spans="5:50" ht="18.75" customHeight="1">
      <c r="K67">
        <v>2020</v>
      </c>
      <c r="L67">
        <v>2021</v>
      </c>
      <c r="M67">
        <v>2022</v>
      </c>
      <c r="N67">
        <v>2023</v>
      </c>
      <c r="O67">
        <v>2024</v>
      </c>
      <c r="P67">
        <v>2025</v>
      </c>
      <c r="Q67">
        <v>2026</v>
      </c>
      <c r="R67" t="s">
        <v>1913</v>
      </c>
      <c r="U67" t="s">
        <v>1914</v>
      </c>
      <c r="V67" t="s">
        <v>1915</v>
      </c>
      <c r="W67" t="s">
        <v>1916</v>
      </c>
      <c r="X67" t="s">
        <v>1917</v>
      </c>
      <c r="AA67" t="s">
        <v>1918</v>
      </c>
      <c r="AD67" t="s">
        <v>1919</v>
      </c>
      <c r="AM67" t="s">
        <v>1955</v>
      </c>
      <c r="AN67" t="s">
        <v>1956</v>
      </c>
      <c r="AO67" t="s">
        <v>1957</v>
      </c>
      <c r="AP67" t="s">
        <v>1958</v>
      </c>
      <c r="AQ67" t="s">
        <v>1959</v>
      </c>
      <c r="AR67" t="s">
        <v>1959</v>
      </c>
      <c r="AU67" t="s">
        <v>1960</v>
      </c>
      <c r="AV67" t="s">
        <v>1961</v>
      </c>
      <c r="AW67" t="s">
        <v>1962</v>
      </c>
      <c r="AX67" t="s">
        <v>1963</v>
      </c>
    </row>
    <row r="68" spans="5:50" ht="18.75" customHeight="1">
      <c r="R68" t="s">
        <v>1920</v>
      </c>
      <c r="S68" t="s">
        <v>1972</v>
      </c>
      <c r="T68" t="s">
        <v>1921</v>
      </c>
      <c r="AA68" t="s">
        <v>1922</v>
      </c>
      <c r="AB68" t="s">
        <v>1923</v>
      </c>
      <c r="AC68" t="s">
        <v>1924</v>
      </c>
      <c r="AD68" t="s">
        <v>1925</v>
      </c>
      <c r="AE68" t="s">
        <v>1926</v>
      </c>
      <c r="AM68" t="s">
        <v>1964</v>
      </c>
      <c r="AN68" t="s">
        <v>1964</v>
      </c>
    </row>
    <row r="69" spans="5:50" ht="18.75" customHeight="1">
      <c r="E69" t="s">
        <v>533</v>
      </c>
      <c r="F69">
        <v>0</v>
      </c>
      <c r="G69" t="s">
        <v>534</v>
      </c>
      <c r="H69">
        <v>0</v>
      </c>
      <c r="I69" t="s">
        <v>1928</v>
      </c>
      <c r="J69">
        <v>1590</v>
      </c>
      <c r="K69">
        <v>0</v>
      </c>
      <c r="L69">
        <v>0</v>
      </c>
      <c r="M69">
        <v>1090</v>
      </c>
      <c r="N69">
        <v>500</v>
      </c>
      <c r="O69">
        <v>0</v>
      </c>
      <c r="P69">
        <v>0</v>
      </c>
      <c r="Q69">
        <v>0</v>
      </c>
      <c r="R69" t="s">
        <v>2077</v>
      </c>
      <c r="S69" t="s">
        <v>2078</v>
      </c>
      <c r="U69" t="s">
        <v>2079</v>
      </c>
      <c r="W69" t="s">
        <v>2080</v>
      </c>
      <c r="Y69" t="s">
        <v>2081</v>
      </c>
      <c r="AA69" t="s">
        <v>2082</v>
      </c>
      <c r="AB69" t="s">
        <v>2082</v>
      </c>
      <c r="AC69" t="s">
        <v>2082</v>
      </c>
      <c r="AD69" t="s">
        <v>2083</v>
      </c>
      <c r="AE69">
        <v>0.3</v>
      </c>
      <c r="AG69" t="s">
        <v>1965</v>
      </c>
      <c r="AI69" t="s">
        <v>533</v>
      </c>
      <c r="AK69" t="s">
        <v>2092</v>
      </c>
      <c r="AM69">
        <v>0</v>
      </c>
      <c r="AN69">
        <v>0</v>
      </c>
      <c r="AO69" t="s">
        <v>2093</v>
      </c>
      <c r="AQ69" t="s">
        <v>1039</v>
      </c>
      <c r="AS69">
        <v>0.08</v>
      </c>
      <c r="AU69" t="s">
        <v>2094</v>
      </c>
      <c r="AW69" t="s">
        <v>2095</v>
      </c>
    </row>
    <row r="70" spans="5:50" ht="18.75" customHeight="1">
      <c r="E70" t="s">
        <v>533</v>
      </c>
      <c r="F70">
        <v>0</v>
      </c>
      <c r="G70" t="s">
        <v>2084</v>
      </c>
      <c r="H70">
        <v>0</v>
      </c>
      <c r="I70" t="s">
        <v>2085</v>
      </c>
      <c r="J70">
        <v>400</v>
      </c>
      <c r="K70">
        <v>0</v>
      </c>
      <c r="L70">
        <v>0</v>
      </c>
      <c r="M70">
        <v>217.5</v>
      </c>
      <c r="N70">
        <v>182.5</v>
      </c>
      <c r="O70">
        <v>0</v>
      </c>
      <c r="P70">
        <v>0</v>
      </c>
      <c r="Q70">
        <v>0</v>
      </c>
      <c r="R70" t="s">
        <v>28</v>
      </c>
      <c r="S70" t="s">
        <v>28</v>
      </c>
      <c r="U70" t="s">
        <v>28</v>
      </c>
      <c r="W70" t="s">
        <v>28</v>
      </c>
      <c r="Y70" t="s">
        <v>2086</v>
      </c>
      <c r="AA70" t="s">
        <v>2082</v>
      </c>
      <c r="AB70" t="s">
        <v>2082</v>
      </c>
      <c r="AC70" t="s">
        <v>2082</v>
      </c>
      <c r="AD70" t="s">
        <v>2087</v>
      </c>
      <c r="AE70" t="s">
        <v>28</v>
      </c>
      <c r="AG70" t="s">
        <v>1965</v>
      </c>
      <c r="AI70" t="s">
        <v>533</v>
      </c>
      <c r="AK70" t="s">
        <v>577</v>
      </c>
      <c r="AM70">
        <v>0</v>
      </c>
      <c r="AN70">
        <v>0</v>
      </c>
      <c r="AO70">
        <v>11</v>
      </c>
      <c r="AQ70" t="s">
        <v>1039</v>
      </c>
      <c r="AS70">
        <v>1</v>
      </c>
      <c r="AU70" t="s">
        <v>2094</v>
      </c>
      <c r="AW70" t="s">
        <v>2096</v>
      </c>
    </row>
    <row r="71" spans="5:50" ht="18.75" customHeight="1">
      <c r="E71" t="s">
        <v>533</v>
      </c>
      <c r="G71" t="s">
        <v>617</v>
      </c>
      <c r="I71" t="s">
        <v>2085</v>
      </c>
      <c r="J71">
        <v>30</v>
      </c>
      <c r="K71">
        <v>0</v>
      </c>
      <c r="L71">
        <v>0</v>
      </c>
      <c r="M71">
        <v>2</v>
      </c>
      <c r="N71">
        <v>28</v>
      </c>
      <c r="O71">
        <v>0</v>
      </c>
      <c r="P71">
        <v>0</v>
      </c>
      <c r="Q71">
        <v>0</v>
      </c>
      <c r="R71" t="s">
        <v>28</v>
      </c>
      <c r="S71" t="s">
        <v>28</v>
      </c>
      <c r="U71" t="s">
        <v>28</v>
      </c>
      <c r="W71" t="s">
        <v>28</v>
      </c>
      <c r="Y71" t="s">
        <v>2088</v>
      </c>
      <c r="AA71" t="s">
        <v>2082</v>
      </c>
      <c r="AB71" t="s">
        <v>2082</v>
      </c>
      <c r="AC71" t="s">
        <v>2082</v>
      </c>
      <c r="AD71" t="s">
        <v>2089</v>
      </c>
      <c r="AE71" t="s">
        <v>28</v>
      </c>
      <c r="AG71" t="s">
        <v>1965</v>
      </c>
      <c r="AI71" t="s">
        <v>533</v>
      </c>
      <c r="AK71" t="s">
        <v>617</v>
      </c>
      <c r="AM71">
        <v>0</v>
      </c>
      <c r="AN71">
        <v>0</v>
      </c>
      <c r="AO71">
        <v>11</v>
      </c>
      <c r="AQ71" t="s">
        <v>1039</v>
      </c>
      <c r="AS71">
        <v>1</v>
      </c>
      <c r="AU71" t="s">
        <v>2094</v>
      </c>
      <c r="AW71" t="s">
        <v>2097</v>
      </c>
    </row>
    <row r="72" spans="5:50" ht="18.75" customHeight="1">
      <c r="E72" t="s">
        <v>533</v>
      </c>
      <c r="F72">
        <v>0</v>
      </c>
      <c r="G72" t="s">
        <v>637</v>
      </c>
      <c r="H72">
        <v>0</v>
      </c>
      <c r="I72" t="s">
        <v>2090</v>
      </c>
      <c r="J72">
        <v>200</v>
      </c>
      <c r="K72">
        <v>0</v>
      </c>
      <c r="L72">
        <v>0</v>
      </c>
      <c r="M72">
        <v>75</v>
      </c>
      <c r="N72">
        <v>47</v>
      </c>
      <c r="O72">
        <v>40</v>
      </c>
      <c r="P72">
        <v>38</v>
      </c>
      <c r="Q72">
        <v>0</v>
      </c>
      <c r="R72" t="s">
        <v>28</v>
      </c>
      <c r="S72" t="s">
        <v>28</v>
      </c>
      <c r="U72" t="s">
        <v>28</v>
      </c>
      <c r="W72" t="s">
        <v>28</v>
      </c>
      <c r="Y72" t="s">
        <v>2081</v>
      </c>
      <c r="AA72" t="s">
        <v>2082</v>
      </c>
      <c r="AB72" t="s">
        <v>2082</v>
      </c>
      <c r="AC72" t="s">
        <v>2082</v>
      </c>
      <c r="AD72" t="s">
        <v>2091</v>
      </c>
      <c r="AE72" t="s">
        <v>28</v>
      </c>
      <c r="AG72" t="s">
        <v>1965</v>
      </c>
      <c r="AI72" t="s">
        <v>533</v>
      </c>
      <c r="AK72" t="s">
        <v>637</v>
      </c>
      <c r="AM72">
        <v>0</v>
      </c>
      <c r="AN72">
        <v>0</v>
      </c>
      <c r="AO72">
        <v>11</v>
      </c>
      <c r="AQ72" t="s">
        <v>1039</v>
      </c>
      <c r="AS72">
        <v>1</v>
      </c>
      <c r="AU72" t="s">
        <v>2094</v>
      </c>
      <c r="AW72" t="s">
        <v>2098</v>
      </c>
    </row>
    <row r="73" spans="5:50" ht="18.75" customHeight="1">
      <c r="E73" t="s">
        <v>533</v>
      </c>
      <c r="F73">
        <v>0</v>
      </c>
      <c r="G73" t="s">
        <v>660</v>
      </c>
      <c r="H73">
        <v>0</v>
      </c>
      <c r="I73" t="s">
        <v>1928</v>
      </c>
      <c r="J73">
        <v>795</v>
      </c>
      <c r="K73">
        <v>0</v>
      </c>
      <c r="L73">
        <v>150</v>
      </c>
      <c r="M73">
        <v>300</v>
      </c>
      <c r="N73">
        <v>345</v>
      </c>
      <c r="O73">
        <v>0</v>
      </c>
      <c r="P73">
        <v>0</v>
      </c>
      <c r="Q73">
        <v>0</v>
      </c>
      <c r="AA73" t="s">
        <v>2082</v>
      </c>
      <c r="AB73" t="s">
        <v>2082</v>
      </c>
      <c r="AC73" t="s">
        <v>2082</v>
      </c>
      <c r="AD73" t="s">
        <v>2087</v>
      </c>
      <c r="AE73" t="s">
        <v>28</v>
      </c>
      <c r="AG73" t="s">
        <v>1965</v>
      </c>
      <c r="AI73" t="s">
        <v>533</v>
      </c>
      <c r="AK73" t="s">
        <v>660</v>
      </c>
      <c r="AM73">
        <v>0</v>
      </c>
      <c r="AN73">
        <v>0</v>
      </c>
      <c r="AO73">
        <v>51</v>
      </c>
      <c r="AQ73" t="s">
        <v>1039</v>
      </c>
      <c r="AS73">
        <v>1</v>
      </c>
      <c r="AU73" t="s">
        <v>2094</v>
      </c>
    </row>
    <row r="75" spans="5:50" ht="18.75" customHeight="1">
      <c r="AG75" t="s">
        <v>1944</v>
      </c>
    </row>
    <row r="76" spans="5:50" ht="18.75" customHeight="1">
      <c r="AG76" t="s">
        <v>1945</v>
      </c>
    </row>
    <row r="77" spans="5:50" ht="18.75" customHeight="1">
      <c r="E77" t="s">
        <v>1901</v>
      </c>
      <c r="AG77" t="s">
        <v>1946</v>
      </c>
      <c r="AH77" t="s">
        <v>1947</v>
      </c>
      <c r="AI77" t="s">
        <v>1948</v>
      </c>
      <c r="AJ77" t="s">
        <v>1949</v>
      </c>
      <c r="AK77" t="s">
        <v>1950</v>
      </c>
      <c r="AL77" t="s">
        <v>1951</v>
      </c>
      <c r="AM77" t="s">
        <v>1952</v>
      </c>
      <c r="AS77" t="s">
        <v>1953</v>
      </c>
      <c r="AU77" t="s">
        <v>1954</v>
      </c>
    </row>
    <row r="78" spans="5:50" ht="18.75" customHeight="1">
      <c r="E78" t="s">
        <v>1902</v>
      </c>
      <c r="F78" t="s">
        <v>1903</v>
      </c>
      <c r="G78" t="s">
        <v>1904</v>
      </c>
      <c r="H78" t="s">
        <v>1905</v>
      </c>
      <c r="I78" t="s">
        <v>1906</v>
      </c>
      <c r="J78" t="s">
        <v>1907</v>
      </c>
      <c r="K78" t="s">
        <v>1908</v>
      </c>
      <c r="R78" t="s">
        <v>1971</v>
      </c>
      <c r="S78" t="s">
        <v>1909</v>
      </c>
      <c r="T78" t="s">
        <v>1910</v>
      </c>
      <c r="Y78" t="s">
        <v>1911</v>
      </c>
      <c r="Z78" t="s">
        <v>1912</v>
      </c>
    </row>
    <row r="79" spans="5:50" ht="18.75" customHeight="1">
      <c r="K79">
        <v>2020</v>
      </c>
      <c r="L79">
        <v>2021</v>
      </c>
      <c r="M79">
        <v>2022</v>
      </c>
      <c r="N79">
        <v>2023</v>
      </c>
      <c r="O79">
        <v>2024</v>
      </c>
      <c r="P79">
        <v>2025</v>
      </c>
      <c r="Q79">
        <v>2026</v>
      </c>
      <c r="R79" t="s">
        <v>1913</v>
      </c>
      <c r="U79" t="s">
        <v>1914</v>
      </c>
      <c r="V79" t="s">
        <v>1915</v>
      </c>
      <c r="W79" t="s">
        <v>1916</v>
      </c>
      <c r="X79" t="s">
        <v>1917</v>
      </c>
      <c r="AA79" t="s">
        <v>1918</v>
      </c>
      <c r="AD79" t="s">
        <v>1919</v>
      </c>
      <c r="AM79" t="s">
        <v>1955</v>
      </c>
      <c r="AN79" t="s">
        <v>1956</v>
      </c>
      <c r="AO79" t="s">
        <v>1957</v>
      </c>
      <c r="AP79" t="s">
        <v>1958</v>
      </c>
      <c r="AQ79" t="s">
        <v>1959</v>
      </c>
      <c r="AR79" t="s">
        <v>1959</v>
      </c>
      <c r="AU79" t="s">
        <v>1960</v>
      </c>
      <c r="AV79" t="s">
        <v>1961</v>
      </c>
      <c r="AW79" t="s">
        <v>1962</v>
      </c>
      <c r="AX79" t="s">
        <v>1963</v>
      </c>
    </row>
    <row r="80" spans="5:50" ht="18.75" customHeight="1">
      <c r="R80" t="s">
        <v>1920</v>
      </c>
      <c r="S80" t="s">
        <v>1972</v>
      </c>
      <c r="T80" t="s">
        <v>1921</v>
      </c>
      <c r="AA80" t="s">
        <v>1922</v>
      </c>
      <c r="AB80" t="s">
        <v>1923</v>
      </c>
      <c r="AC80" t="s">
        <v>1924</v>
      </c>
      <c r="AD80" t="s">
        <v>1925</v>
      </c>
      <c r="AE80" t="s">
        <v>1926</v>
      </c>
      <c r="AM80" t="s">
        <v>1964</v>
      </c>
      <c r="AN80" t="s">
        <v>1964</v>
      </c>
    </row>
    <row r="81" spans="5:50" ht="18.75" customHeight="1">
      <c r="E81" t="s">
        <v>672</v>
      </c>
      <c r="F81">
        <v>0</v>
      </c>
      <c r="G81" t="s">
        <v>673</v>
      </c>
      <c r="H81">
        <v>0</v>
      </c>
      <c r="I81" t="s">
        <v>2099</v>
      </c>
      <c r="J81">
        <v>3500</v>
      </c>
      <c r="K81">
        <v>0</v>
      </c>
      <c r="L81">
        <v>100</v>
      </c>
      <c r="M81">
        <v>900</v>
      </c>
      <c r="N81">
        <v>900</v>
      </c>
      <c r="O81">
        <v>900</v>
      </c>
      <c r="P81">
        <v>700</v>
      </c>
      <c r="Q81">
        <v>0</v>
      </c>
      <c r="R81" t="s">
        <v>2107</v>
      </c>
      <c r="S81" t="s">
        <v>2108</v>
      </c>
      <c r="T81" t="s">
        <v>2108</v>
      </c>
      <c r="U81" t="s">
        <v>2109</v>
      </c>
      <c r="V81" t="s">
        <v>2110</v>
      </c>
      <c r="W81" t="s">
        <v>28</v>
      </c>
      <c r="Y81" t="s">
        <v>2100</v>
      </c>
      <c r="AA81" t="s">
        <v>2094</v>
      </c>
      <c r="AD81" t="s">
        <v>2101</v>
      </c>
      <c r="AG81" t="s">
        <v>2114</v>
      </c>
      <c r="AI81" t="s">
        <v>672</v>
      </c>
      <c r="AK81" t="s">
        <v>673</v>
      </c>
      <c r="AM81">
        <v>1</v>
      </c>
      <c r="AN81">
        <v>0.4</v>
      </c>
      <c r="AO81" t="s">
        <v>2115</v>
      </c>
      <c r="AQ81" t="s">
        <v>1039</v>
      </c>
      <c r="AS81">
        <v>0</v>
      </c>
      <c r="AU81" t="s">
        <v>2116</v>
      </c>
      <c r="AW81" t="s">
        <v>2117</v>
      </c>
    </row>
    <row r="82" spans="5:50" ht="18.75" customHeight="1">
      <c r="E82" t="s">
        <v>672</v>
      </c>
      <c r="F82">
        <v>0</v>
      </c>
      <c r="G82" t="s">
        <v>701</v>
      </c>
      <c r="H82">
        <v>0</v>
      </c>
      <c r="I82" t="s">
        <v>2102</v>
      </c>
      <c r="J82">
        <v>2500</v>
      </c>
      <c r="K82">
        <v>0</v>
      </c>
      <c r="L82">
        <v>200</v>
      </c>
      <c r="M82">
        <v>600</v>
      </c>
      <c r="N82">
        <v>600</v>
      </c>
      <c r="O82">
        <v>600</v>
      </c>
      <c r="P82">
        <v>500</v>
      </c>
      <c r="Q82">
        <v>0</v>
      </c>
      <c r="R82" t="s">
        <v>2111</v>
      </c>
      <c r="S82" t="s">
        <v>2103</v>
      </c>
      <c r="T82" t="s">
        <v>2103</v>
      </c>
      <c r="U82" t="s">
        <v>2112</v>
      </c>
      <c r="V82" t="s">
        <v>2113</v>
      </c>
      <c r="W82" t="s">
        <v>28</v>
      </c>
      <c r="Y82" t="s">
        <v>2104</v>
      </c>
      <c r="AA82" t="s">
        <v>2105</v>
      </c>
      <c r="AD82" t="s">
        <v>2106</v>
      </c>
      <c r="AG82" t="s">
        <v>2114</v>
      </c>
      <c r="AI82" t="s">
        <v>672</v>
      </c>
      <c r="AK82" t="s">
        <v>701</v>
      </c>
      <c r="AM82">
        <v>1</v>
      </c>
      <c r="AN82">
        <v>0.4</v>
      </c>
      <c r="AO82" t="s">
        <v>2118</v>
      </c>
      <c r="AQ82" t="s">
        <v>1039</v>
      </c>
      <c r="AS82">
        <v>0</v>
      </c>
      <c r="AU82" t="s">
        <v>2116</v>
      </c>
      <c r="AW82" t="s">
        <v>2117</v>
      </c>
    </row>
    <row r="84" spans="5:50" ht="18.75" customHeight="1">
      <c r="AG84" t="s">
        <v>1944</v>
      </c>
    </row>
    <row r="85" spans="5:50" ht="18.75" customHeight="1">
      <c r="AG85" t="s">
        <v>1945</v>
      </c>
    </row>
    <row r="86" spans="5:50" ht="18.75" customHeight="1">
      <c r="E86" t="s">
        <v>1901</v>
      </c>
      <c r="AG86" t="s">
        <v>1946</v>
      </c>
      <c r="AH86" t="s">
        <v>1947</v>
      </c>
      <c r="AI86" t="s">
        <v>1948</v>
      </c>
      <c r="AJ86" t="s">
        <v>1949</v>
      </c>
      <c r="AK86" t="s">
        <v>1950</v>
      </c>
      <c r="AL86" t="s">
        <v>1951</v>
      </c>
      <c r="AM86" t="s">
        <v>1952</v>
      </c>
      <c r="AS86" t="s">
        <v>1953</v>
      </c>
      <c r="AU86" t="s">
        <v>1954</v>
      </c>
    </row>
    <row r="87" spans="5:50" ht="18.75" customHeight="1">
      <c r="E87" t="s">
        <v>1902</v>
      </c>
      <c r="F87" t="s">
        <v>1903</v>
      </c>
      <c r="G87" t="s">
        <v>1904</v>
      </c>
      <c r="H87" t="s">
        <v>1905</v>
      </c>
      <c r="I87" t="s">
        <v>1906</v>
      </c>
      <c r="J87" t="s">
        <v>1907</v>
      </c>
      <c r="K87" t="s">
        <v>1908</v>
      </c>
      <c r="R87" t="s">
        <v>1971</v>
      </c>
      <c r="S87" t="s">
        <v>1909</v>
      </c>
      <c r="T87" t="s">
        <v>1910</v>
      </c>
      <c r="Y87" t="s">
        <v>1911</v>
      </c>
      <c r="Z87" t="s">
        <v>1912</v>
      </c>
    </row>
    <row r="88" spans="5:50" ht="18.75" customHeight="1">
      <c r="K88">
        <v>2020</v>
      </c>
      <c r="L88">
        <v>2021</v>
      </c>
      <c r="M88">
        <v>2022</v>
      </c>
      <c r="N88">
        <v>2023</v>
      </c>
      <c r="O88">
        <v>2024</v>
      </c>
      <c r="P88">
        <v>2025</v>
      </c>
      <c r="Q88">
        <v>2026</v>
      </c>
      <c r="R88" t="s">
        <v>1913</v>
      </c>
      <c r="U88" t="s">
        <v>1914</v>
      </c>
      <c r="V88" t="s">
        <v>1915</v>
      </c>
      <c r="W88" t="s">
        <v>1916</v>
      </c>
      <c r="X88" t="s">
        <v>1917</v>
      </c>
      <c r="AA88" t="s">
        <v>1918</v>
      </c>
      <c r="AD88" t="s">
        <v>1919</v>
      </c>
      <c r="AM88" t="s">
        <v>1955</v>
      </c>
      <c r="AN88" t="s">
        <v>1956</v>
      </c>
      <c r="AO88" t="s">
        <v>1957</v>
      </c>
      <c r="AP88" t="s">
        <v>1958</v>
      </c>
      <c r="AQ88" t="s">
        <v>1959</v>
      </c>
      <c r="AR88" t="s">
        <v>1959</v>
      </c>
      <c r="AU88" t="s">
        <v>1960</v>
      </c>
      <c r="AV88" t="s">
        <v>1961</v>
      </c>
      <c r="AW88" t="s">
        <v>1962</v>
      </c>
      <c r="AX88" t="s">
        <v>1963</v>
      </c>
    </row>
    <row r="89" spans="5:50" ht="18.75" customHeight="1">
      <c r="R89" t="s">
        <v>1920</v>
      </c>
      <c r="S89" t="s">
        <v>1972</v>
      </c>
      <c r="T89" t="s">
        <v>1921</v>
      </c>
      <c r="AA89" t="s">
        <v>1922</v>
      </c>
      <c r="AB89" t="s">
        <v>1923</v>
      </c>
      <c r="AC89" t="s">
        <v>1924</v>
      </c>
      <c r="AD89" t="s">
        <v>1925</v>
      </c>
      <c r="AE89" t="s">
        <v>1926</v>
      </c>
      <c r="AM89" t="s">
        <v>1964</v>
      </c>
      <c r="AN89" t="s">
        <v>1964</v>
      </c>
    </row>
    <row r="90" spans="5:50" ht="18.75" customHeight="1">
      <c r="E90" t="s">
        <v>722</v>
      </c>
      <c r="F90" t="s">
        <v>2129</v>
      </c>
      <c r="G90" t="s">
        <v>1891</v>
      </c>
      <c r="H90" t="s">
        <v>723</v>
      </c>
      <c r="I90" t="s">
        <v>2099</v>
      </c>
      <c r="J90">
        <v>5000</v>
      </c>
      <c r="K90">
        <v>0</v>
      </c>
      <c r="L90">
        <v>0</v>
      </c>
      <c r="M90">
        <v>925.9</v>
      </c>
      <c r="N90">
        <v>1111.0999999999999</v>
      </c>
      <c r="O90">
        <v>1111.0999999999999</v>
      </c>
      <c r="P90">
        <v>1111.0999999999999</v>
      </c>
      <c r="Q90">
        <v>740.7</v>
      </c>
      <c r="S90" t="s">
        <v>2119</v>
      </c>
      <c r="U90" t="s">
        <v>2120</v>
      </c>
      <c r="W90" t="s">
        <v>2121</v>
      </c>
      <c r="AA90" t="s">
        <v>56</v>
      </c>
      <c r="AB90" t="s">
        <v>56</v>
      </c>
      <c r="AC90" t="s">
        <v>56</v>
      </c>
      <c r="AD90" t="s">
        <v>2122</v>
      </c>
      <c r="AE90" t="s">
        <v>2123</v>
      </c>
      <c r="AG90" t="s">
        <v>2114</v>
      </c>
      <c r="AH90" t="s">
        <v>2130</v>
      </c>
      <c r="AI90" t="s">
        <v>722</v>
      </c>
      <c r="AJ90" t="s">
        <v>2129</v>
      </c>
      <c r="AK90" t="s">
        <v>1891</v>
      </c>
      <c r="AL90" t="s">
        <v>723</v>
      </c>
      <c r="AM90">
        <v>1</v>
      </c>
      <c r="AN90">
        <v>0.4</v>
      </c>
      <c r="AO90" t="s">
        <v>2131</v>
      </c>
      <c r="AP90" t="s">
        <v>2132</v>
      </c>
      <c r="AQ90" t="s">
        <v>2133</v>
      </c>
      <c r="AR90" t="s">
        <v>2134</v>
      </c>
      <c r="AS90">
        <v>0</v>
      </c>
      <c r="AU90" t="s">
        <v>2135</v>
      </c>
      <c r="AV90" t="s">
        <v>2136</v>
      </c>
      <c r="AW90" t="s">
        <v>2137</v>
      </c>
      <c r="AX90" t="s">
        <v>2082</v>
      </c>
    </row>
    <row r="91" spans="5:50" ht="18.75" customHeight="1">
      <c r="E91" t="s">
        <v>722</v>
      </c>
      <c r="F91" t="s">
        <v>2129</v>
      </c>
      <c r="G91" t="s">
        <v>1892</v>
      </c>
      <c r="H91" t="s">
        <v>741</v>
      </c>
      <c r="I91" t="s">
        <v>2099</v>
      </c>
      <c r="J91">
        <v>1660</v>
      </c>
      <c r="K91">
        <v>0</v>
      </c>
      <c r="L91">
        <v>0</v>
      </c>
      <c r="M91">
        <v>144.30000000000001</v>
      </c>
      <c r="N91">
        <v>288.7</v>
      </c>
      <c r="O91">
        <v>433</v>
      </c>
      <c r="P91">
        <v>433</v>
      </c>
      <c r="Q91">
        <v>360.9</v>
      </c>
      <c r="S91" t="s">
        <v>2124</v>
      </c>
      <c r="U91" t="s">
        <v>2125</v>
      </c>
      <c r="W91" t="s">
        <v>2126</v>
      </c>
      <c r="AA91" t="s">
        <v>56</v>
      </c>
      <c r="AB91" t="s">
        <v>56</v>
      </c>
      <c r="AC91" t="s">
        <v>56</v>
      </c>
      <c r="AD91" t="s">
        <v>2127</v>
      </c>
      <c r="AE91" t="s">
        <v>2128</v>
      </c>
      <c r="AG91" t="s">
        <v>2114</v>
      </c>
      <c r="AH91" t="s">
        <v>2130</v>
      </c>
      <c r="AI91" t="s">
        <v>722</v>
      </c>
      <c r="AJ91" t="s">
        <v>2129</v>
      </c>
      <c r="AK91" t="s">
        <v>1892</v>
      </c>
      <c r="AL91" t="s">
        <v>741</v>
      </c>
      <c r="AM91">
        <v>1</v>
      </c>
      <c r="AN91">
        <v>0.4</v>
      </c>
      <c r="AO91" t="s">
        <v>2138</v>
      </c>
      <c r="AP91" t="s">
        <v>2139</v>
      </c>
      <c r="AQ91" t="s">
        <v>2140</v>
      </c>
      <c r="AR91" t="s">
        <v>2134</v>
      </c>
      <c r="AS91">
        <v>0</v>
      </c>
      <c r="AU91" t="s">
        <v>2141</v>
      </c>
      <c r="AV91" t="s">
        <v>2142</v>
      </c>
      <c r="AW91" t="s">
        <v>2137</v>
      </c>
      <c r="AX91" t="s">
        <v>2082</v>
      </c>
    </row>
    <row r="92" spans="5:50" ht="18.75" customHeight="1">
      <c r="AA92" t="s">
        <v>56</v>
      </c>
      <c r="AB92" t="s">
        <v>56</v>
      </c>
      <c r="AC92" t="s">
        <v>56</v>
      </c>
      <c r="AD92" t="s">
        <v>56</v>
      </c>
      <c r="AE92" t="s">
        <v>56</v>
      </c>
    </row>
    <row r="93" spans="5:50" ht="18.75" customHeight="1">
      <c r="AA93" t="s">
        <v>56</v>
      </c>
      <c r="AB93" t="s">
        <v>56</v>
      </c>
      <c r="AC93" t="s">
        <v>56</v>
      </c>
      <c r="AD93" t="s">
        <v>56</v>
      </c>
      <c r="AE93" t="s">
        <v>56</v>
      </c>
    </row>
    <row r="94" spans="5:50" ht="18.75" customHeight="1">
      <c r="AG94" t="s">
        <v>1944</v>
      </c>
    </row>
    <row r="95" spans="5:50" ht="18.75" customHeight="1">
      <c r="AG95" t="s">
        <v>1945</v>
      </c>
    </row>
    <row r="96" spans="5:50" ht="18.75" customHeight="1">
      <c r="E96" t="s">
        <v>1901</v>
      </c>
      <c r="AG96" t="s">
        <v>1946</v>
      </c>
      <c r="AH96" t="s">
        <v>1947</v>
      </c>
      <c r="AI96" t="s">
        <v>1948</v>
      </c>
      <c r="AJ96" t="s">
        <v>1949</v>
      </c>
      <c r="AK96" t="s">
        <v>1950</v>
      </c>
      <c r="AL96" t="s">
        <v>1951</v>
      </c>
      <c r="AM96" t="s">
        <v>1952</v>
      </c>
      <c r="AS96" t="s">
        <v>1953</v>
      </c>
      <c r="AU96" t="s">
        <v>1954</v>
      </c>
    </row>
    <row r="97" spans="5:50" ht="18.75" customHeight="1">
      <c r="E97" t="s">
        <v>1902</v>
      </c>
      <c r="F97" t="s">
        <v>1903</v>
      </c>
      <c r="G97" t="s">
        <v>1904</v>
      </c>
      <c r="H97" t="s">
        <v>1905</v>
      </c>
      <c r="I97" t="s">
        <v>1906</v>
      </c>
      <c r="J97" t="s">
        <v>1907</v>
      </c>
      <c r="K97" t="s">
        <v>1908</v>
      </c>
      <c r="R97" t="s">
        <v>1971</v>
      </c>
      <c r="S97" t="s">
        <v>1909</v>
      </c>
      <c r="T97" t="s">
        <v>1910</v>
      </c>
      <c r="Y97" t="s">
        <v>1911</v>
      </c>
      <c r="Z97" t="s">
        <v>1912</v>
      </c>
    </row>
    <row r="98" spans="5:50" ht="18.75" customHeight="1">
      <c r="K98">
        <v>2020</v>
      </c>
      <c r="L98">
        <v>2021</v>
      </c>
      <c r="M98">
        <v>2022</v>
      </c>
      <c r="N98">
        <v>2023</v>
      </c>
      <c r="O98">
        <v>2024</v>
      </c>
      <c r="P98">
        <v>2025</v>
      </c>
      <c r="Q98">
        <v>2026</v>
      </c>
      <c r="R98" t="s">
        <v>1913</v>
      </c>
      <c r="U98" t="s">
        <v>1914</v>
      </c>
      <c r="V98" t="s">
        <v>1915</v>
      </c>
      <c r="W98" t="s">
        <v>1916</v>
      </c>
      <c r="X98" t="s">
        <v>1917</v>
      </c>
      <c r="AA98" t="s">
        <v>1918</v>
      </c>
      <c r="AD98" t="s">
        <v>1919</v>
      </c>
      <c r="AM98" t="s">
        <v>1955</v>
      </c>
      <c r="AN98" t="s">
        <v>1956</v>
      </c>
      <c r="AO98" t="s">
        <v>1957</v>
      </c>
      <c r="AP98" t="s">
        <v>1958</v>
      </c>
      <c r="AQ98" t="s">
        <v>1959</v>
      </c>
      <c r="AR98" t="s">
        <v>1959</v>
      </c>
      <c r="AU98" t="s">
        <v>1960</v>
      </c>
      <c r="AV98" t="s">
        <v>1961</v>
      </c>
      <c r="AW98" t="s">
        <v>1962</v>
      </c>
      <c r="AX98" t="s">
        <v>1963</v>
      </c>
    </row>
    <row r="99" spans="5:50" ht="18.75" customHeight="1">
      <c r="R99" t="s">
        <v>1920</v>
      </c>
      <c r="S99" t="s">
        <v>1972</v>
      </c>
      <c r="T99" t="s">
        <v>1921</v>
      </c>
      <c r="AA99" t="s">
        <v>1922</v>
      </c>
      <c r="AB99" t="s">
        <v>1923</v>
      </c>
      <c r="AC99" t="s">
        <v>1924</v>
      </c>
      <c r="AD99" t="s">
        <v>1925</v>
      </c>
      <c r="AE99" t="s">
        <v>1926</v>
      </c>
      <c r="AM99" t="s">
        <v>1964</v>
      </c>
      <c r="AN99" t="s">
        <v>1964</v>
      </c>
    </row>
    <row r="100" spans="5:50" ht="18.75" customHeight="1">
      <c r="E100" t="s">
        <v>755</v>
      </c>
      <c r="F100">
        <v>0</v>
      </c>
      <c r="G100" t="s">
        <v>2143</v>
      </c>
      <c r="H100">
        <v>0</v>
      </c>
      <c r="I100" t="s">
        <v>2144</v>
      </c>
      <c r="J100">
        <v>2180</v>
      </c>
      <c r="K100">
        <v>0</v>
      </c>
      <c r="L100">
        <v>0</v>
      </c>
      <c r="M100">
        <v>328</v>
      </c>
      <c r="N100">
        <v>536</v>
      </c>
      <c r="O100">
        <v>650</v>
      </c>
      <c r="P100">
        <v>666</v>
      </c>
      <c r="Q100">
        <v>0</v>
      </c>
      <c r="R100">
        <v>0</v>
      </c>
      <c r="S100">
        <v>0</v>
      </c>
      <c r="T100">
        <v>0</v>
      </c>
      <c r="U100">
        <v>0</v>
      </c>
      <c r="V100">
        <v>0</v>
      </c>
      <c r="W100">
        <v>0</v>
      </c>
      <c r="X100">
        <v>0</v>
      </c>
      <c r="Y100" t="s">
        <v>2145</v>
      </c>
      <c r="Z100" t="s">
        <v>2145</v>
      </c>
      <c r="AA100" t="s">
        <v>2165</v>
      </c>
      <c r="AB100" t="s">
        <v>2165</v>
      </c>
      <c r="AC100" t="s">
        <v>2165</v>
      </c>
      <c r="AD100" t="s">
        <v>2146</v>
      </c>
      <c r="AE100" t="s">
        <v>2147</v>
      </c>
      <c r="AG100" t="s">
        <v>2114</v>
      </c>
      <c r="AI100" t="s">
        <v>755</v>
      </c>
      <c r="AK100" t="s">
        <v>2143</v>
      </c>
      <c r="AM100">
        <v>1</v>
      </c>
      <c r="AN100">
        <v>0.4</v>
      </c>
      <c r="AO100">
        <v>77</v>
      </c>
      <c r="AQ100" t="s">
        <v>2166</v>
      </c>
      <c r="AS100">
        <v>0</v>
      </c>
      <c r="AU100" t="s">
        <v>2167</v>
      </c>
    </row>
    <row r="101" spans="5:50" ht="18.75" customHeight="1">
      <c r="E101" t="s">
        <v>755</v>
      </c>
      <c r="F101">
        <v>0</v>
      </c>
      <c r="G101" t="s">
        <v>2148</v>
      </c>
      <c r="H101">
        <v>0</v>
      </c>
      <c r="I101" t="s">
        <v>2090</v>
      </c>
      <c r="J101">
        <v>1200</v>
      </c>
      <c r="K101">
        <v>0</v>
      </c>
      <c r="L101">
        <v>0</v>
      </c>
      <c r="M101">
        <v>160</v>
      </c>
      <c r="N101">
        <v>284</v>
      </c>
      <c r="O101">
        <v>444</v>
      </c>
      <c r="P101">
        <v>312</v>
      </c>
      <c r="Q101">
        <v>0</v>
      </c>
      <c r="R101">
        <v>0</v>
      </c>
      <c r="S101">
        <v>0</v>
      </c>
      <c r="T101">
        <v>0</v>
      </c>
      <c r="U101">
        <v>0</v>
      </c>
      <c r="V101">
        <v>0</v>
      </c>
      <c r="W101">
        <v>0</v>
      </c>
      <c r="X101">
        <v>0</v>
      </c>
      <c r="Y101" t="s">
        <v>2145</v>
      </c>
      <c r="Z101" t="s">
        <v>2145</v>
      </c>
      <c r="AA101" t="s">
        <v>2165</v>
      </c>
      <c r="AB101" t="s">
        <v>2165</v>
      </c>
      <c r="AC101" t="s">
        <v>2165</v>
      </c>
      <c r="AD101" t="s">
        <v>2149</v>
      </c>
      <c r="AE101" t="s">
        <v>2150</v>
      </c>
      <c r="AG101" t="s">
        <v>2114</v>
      </c>
      <c r="AI101" t="s">
        <v>755</v>
      </c>
      <c r="AK101" t="s">
        <v>2148</v>
      </c>
      <c r="AM101">
        <v>1</v>
      </c>
      <c r="AN101">
        <v>0.4</v>
      </c>
      <c r="AO101">
        <v>77</v>
      </c>
      <c r="AQ101" t="s">
        <v>2166</v>
      </c>
      <c r="AS101">
        <v>0</v>
      </c>
      <c r="AU101" t="s">
        <v>2168</v>
      </c>
    </row>
    <row r="102" spans="5:50" ht="18.75" customHeight="1">
      <c r="E102" t="s">
        <v>755</v>
      </c>
      <c r="F102">
        <v>0</v>
      </c>
      <c r="G102" t="s">
        <v>2151</v>
      </c>
      <c r="H102">
        <v>0</v>
      </c>
      <c r="I102" t="s">
        <v>1976</v>
      </c>
      <c r="J102">
        <v>300</v>
      </c>
      <c r="K102">
        <v>0</v>
      </c>
      <c r="L102">
        <v>0</v>
      </c>
      <c r="M102">
        <v>20</v>
      </c>
      <c r="N102">
        <v>60</v>
      </c>
      <c r="O102">
        <v>110</v>
      </c>
      <c r="P102">
        <v>110</v>
      </c>
      <c r="Q102">
        <v>0</v>
      </c>
      <c r="R102">
        <v>0</v>
      </c>
      <c r="S102">
        <v>0</v>
      </c>
      <c r="T102">
        <v>0</v>
      </c>
      <c r="U102">
        <v>0</v>
      </c>
      <c r="V102">
        <v>0</v>
      </c>
      <c r="W102">
        <v>0</v>
      </c>
      <c r="X102">
        <v>0</v>
      </c>
      <c r="Y102" t="s">
        <v>2145</v>
      </c>
      <c r="Z102" t="s">
        <v>2145</v>
      </c>
      <c r="AA102" t="s">
        <v>2165</v>
      </c>
      <c r="AB102" t="s">
        <v>2165</v>
      </c>
      <c r="AC102" t="s">
        <v>2165</v>
      </c>
      <c r="AD102" t="s">
        <v>2152</v>
      </c>
      <c r="AE102" t="s">
        <v>2153</v>
      </c>
      <c r="AG102" t="s">
        <v>2114</v>
      </c>
      <c r="AI102" t="s">
        <v>755</v>
      </c>
      <c r="AK102" t="s">
        <v>2151</v>
      </c>
      <c r="AM102">
        <v>1</v>
      </c>
      <c r="AN102">
        <v>0.4</v>
      </c>
      <c r="AO102">
        <v>77</v>
      </c>
      <c r="AQ102" t="s">
        <v>2166</v>
      </c>
      <c r="AS102">
        <v>0</v>
      </c>
      <c r="AU102" t="s">
        <v>2169</v>
      </c>
    </row>
    <row r="103" spans="5:50" ht="18.75" customHeight="1">
      <c r="E103" t="s">
        <v>755</v>
      </c>
      <c r="F103">
        <v>0</v>
      </c>
      <c r="G103" t="s">
        <v>2154</v>
      </c>
      <c r="H103">
        <v>0</v>
      </c>
      <c r="I103" t="s">
        <v>2144</v>
      </c>
      <c r="J103">
        <v>144</v>
      </c>
      <c r="K103">
        <v>0</v>
      </c>
      <c r="L103">
        <v>0</v>
      </c>
      <c r="M103">
        <v>14</v>
      </c>
      <c r="N103">
        <v>40</v>
      </c>
      <c r="O103">
        <v>40</v>
      </c>
      <c r="P103">
        <v>40</v>
      </c>
      <c r="Q103">
        <v>10</v>
      </c>
      <c r="R103">
        <v>0</v>
      </c>
      <c r="S103">
        <v>0</v>
      </c>
      <c r="T103">
        <v>0</v>
      </c>
      <c r="U103">
        <v>0</v>
      </c>
      <c r="V103">
        <v>0</v>
      </c>
      <c r="W103">
        <v>0</v>
      </c>
      <c r="X103">
        <v>0</v>
      </c>
      <c r="Y103" t="s">
        <v>2145</v>
      </c>
      <c r="Z103" t="s">
        <v>2145</v>
      </c>
      <c r="AA103" t="s">
        <v>2165</v>
      </c>
      <c r="AB103" t="s">
        <v>2165</v>
      </c>
      <c r="AC103" t="s">
        <v>2165</v>
      </c>
      <c r="AD103" t="s">
        <v>2155</v>
      </c>
      <c r="AG103" t="s">
        <v>2114</v>
      </c>
      <c r="AI103" t="s">
        <v>755</v>
      </c>
      <c r="AK103" t="s">
        <v>2154</v>
      </c>
      <c r="AM103">
        <v>1</v>
      </c>
      <c r="AN103">
        <v>0.4</v>
      </c>
      <c r="AO103">
        <v>77</v>
      </c>
      <c r="AQ103" t="s">
        <v>2166</v>
      </c>
      <c r="AS103">
        <v>0</v>
      </c>
      <c r="AU103" t="s">
        <v>2170</v>
      </c>
    </row>
    <row r="104" spans="5:50" ht="18.75" customHeight="1">
      <c r="E104" t="s">
        <v>755</v>
      </c>
      <c r="F104">
        <v>0</v>
      </c>
      <c r="G104" t="s">
        <v>2156</v>
      </c>
      <c r="H104">
        <v>0</v>
      </c>
      <c r="I104" t="s">
        <v>2144</v>
      </c>
      <c r="J104">
        <v>200</v>
      </c>
      <c r="K104">
        <v>0</v>
      </c>
      <c r="L104">
        <v>0</v>
      </c>
      <c r="M104">
        <v>20</v>
      </c>
      <c r="N104">
        <v>40</v>
      </c>
      <c r="O104">
        <v>50</v>
      </c>
      <c r="P104">
        <v>60</v>
      </c>
      <c r="Q104">
        <v>30</v>
      </c>
      <c r="R104">
        <v>0</v>
      </c>
      <c r="S104">
        <v>0</v>
      </c>
      <c r="T104">
        <v>0</v>
      </c>
      <c r="U104">
        <v>0</v>
      </c>
      <c r="V104">
        <v>0</v>
      </c>
      <c r="W104">
        <v>0</v>
      </c>
      <c r="X104">
        <v>0</v>
      </c>
      <c r="Y104" t="s">
        <v>2145</v>
      </c>
      <c r="Z104" t="s">
        <v>2145</v>
      </c>
      <c r="AA104" t="s">
        <v>2165</v>
      </c>
      <c r="AB104" t="s">
        <v>2165</v>
      </c>
      <c r="AC104" t="s">
        <v>2165</v>
      </c>
      <c r="AD104" t="s">
        <v>2157</v>
      </c>
      <c r="AG104" t="s">
        <v>2114</v>
      </c>
      <c r="AI104" t="s">
        <v>755</v>
      </c>
      <c r="AK104" t="s">
        <v>2171</v>
      </c>
      <c r="AM104">
        <v>1</v>
      </c>
      <c r="AN104">
        <v>0.4</v>
      </c>
      <c r="AO104">
        <v>77</v>
      </c>
      <c r="AQ104" t="s">
        <v>2166</v>
      </c>
      <c r="AS104">
        <v>0</v>
      </c>
      <c r="AU104" t="s">
        <v>2172</v>
      </c>
    </row>
    <row r="105" spans="5:50" ht="18.75" customHeight="1">
      <c r="E105" t="s">
        <v>755</v>
      </c>
      <c r="F105">
        <v>0</v>
      </c>
      <c r="G105" t="s">
        <v>2158</v>
      </c>
      <c r="H105">
        <v>0</v>
      </c>
      <c r="I105" t="s">
        <v>1986</v>
      </c>
      <c r="J105">
        <v>610</v>
      </c>
      <c r="K105">
        <v>0</v>
      </c>
      <c r="L105">
        <v>136</v>
      </c>
      <c r="M105">
        <v>164</v>
      </c>
      <c r="N105">
        <v>173</v>
      </c>
      <c r="O105">
        <v>137</v>
      </c>
      <c r="P105">
        <v>0</v>
      </c>
      <c r="Q105">
        <v>0</v>
      </c>
      <c r="R105">
        <v>0</v>
      </c>
      <c r="S105">
        <v>0</v>
      </c>
      <c r="T105">
        <v>0</v>
      </c>
      <c r="U105">
        <v>0</v>
      </c>
      <c r="V105">
        <v>0</v>
      </c>
      <c r="W105">
        <v>0</v>
      </c>
      <c r="X105">
        <v>0</v>
      </c>
      <c r="Y105" t="s">
        <v>2145</v>
      </c>
      <c r="Z105" t="s">
        <v>2145</v>
      </c>
      <c r="AA105" t="s">
        <v>2165</v>
      </c>
      <c r="AB105" t="s">
        <v>2165</v>
      </c>
      <c r="AC105" t="s">
        <v>2165</v>
      </c>
      <c r="AD105" t="s">
        <v>2159</v>
      </c>
      <c r="AE105" t="s">
        <v>2160</v>
      </c>
      <c r="AG105" t="s">
        <v>2114</v>
      </c>
      <c r="AI105" t="s">
        <v>755</v>
      </c>
      <c r="AK105" t="s">
        <v>2158</v>
      </c>
      <c r="AM105">
        <v>1</v>
      </c>
      <c r="AN105">
        <v>0.4</v>
      </c>
      <c r="AO105">
        <v>73</v>
      </c>
      <c r="AQ105" t="s">
        <v>2166</v>
      </c>
      <c r="AS105">
        <v>0</v>
      </c>
      <c r="AU105" t="s">
        <v>2173</v>
      </c>
    </row>
    <row r="106" spans="5:50" ht="18.75" customHeight="1">
      <c r="E106" t="s">
        <v>755</v>
      </c>
      <c r="F106">
        <v>0</v>
      </c>
      <c r="G106" t="s">
        <v>2161</v>
      </c>
      <c r="H106">
        <v>0</v>
      </c>
      <c r="I106" t="s">
        <v>1976</v>
      </c>
      <c r="J106">
        <v>600</v>
      </c>
      <c r="K106">
        <v>0</v>
      </c>
      <c r="L106">
        <v>0</v>
      </c>
      <c r="M106">
        <v>100</v>
      </c>
      <c r="N106">
        <v>157</v>
      </c>
      <c r="O106">
        <v>178</v>
      </c>
      <c r="P106">
        <v>155</v>
      </c>
      <c r="Q106">
        <v>0</v>
      </c>
      <c r="R106">
        <v>0</v>
      </c>
      <c r="S106">
        <v>0</v>
      </c>
      <c r="T106">
        <v>0</v>
      </c>
      <c r="U106">
        <v>0</v>
      </c>
      <c r="V106">
        <v>0</v>
      </c>
      <c r="W106">
        <v>0</v>
      </c>
      <c r="X106">
        <v>0</v>
      </c>
      <c r="Y106" t="s">
        <v>2145</v>
      </c>
      <c r="Z106" t="s">
        <v>2145</v>
      </c>
      <c r="AA106" t="s">
        <v>2165</v>
      </c>
      <c r="AB106" t="s">
        <v>2165</v>
      </c>
      <c r="AC106" t="s">
        <v>2165</v>
      </c>
      <c r="AD106" t="s">
        <v>2162</v>
      </c>
      <c r="AG106" t="s">
        <v>2114</v>
      </c>
      <c r="AI106" t="s">
        <v>755</v>
      </c>
      <c r="AK106" t="s">
        <v>2161</v>
      </c>
      <c r="AM106">
        <v>1</v>
      </c>
      <c r="AN106">
        <v>0.4</v>
      </c>
      <c r="AO106">
        <v>73</v>
      </c>
      <c r="AQ106" t="s">
        <v>2166</v>
      </c>
      <c r="AS106">
        <v>0</v>
      </c>
      <c r="AU106" t="s">
        <v>2174</v>
      </c>
    </row>
    <row r="107" spans="5:50" ht="18.75" customHeight="1">
      <c r="E107" t="s">
        <v>755</v>
      </c>
      <c r="F107">
        <v>0</v>
      </c>
      <c r="G107" t="s">
        <v>2163</v>
      </c>
      <c r="H107">
        <v>0</v>
      </c>
      <c r="I107" t="s">
        <v>2090</v>
      </c>
      <c r="J107">
        <v>1700</v>
      </c>
      <c r="K107">
        <v>0</v>
      </c>
      <c r="L107">
        <v>0</v>
      </c>
      <c r="M107">
        <v>390</v>
      </c>
      <c r="N107">
        <v>550</v>
      </c>
      <c r="O107">
        <v>460</v>
      </c>
      <c r="P107">
        <v>300</v>
      </c>
      <c r="Q107">
        <v>0</v>
      </c>
      <c r="R107">
        <v>0</v>
      </c>
      <c r="S107">
        <v>0</v>
      </c>
      <c r="T107">
        <v>0</v>
      </c>
      <c r="U107">
        <v>0</v>
      </c>
      <c r="V107">
        <v>0</v>
      </c>
      <c r="W107">
        <v>0</v>
      </c>
      <c r="X107">
        <v>0</v>
      </c>
      <c r="Y107" t="s">
        <v>2145</v>
      </c>
      <c r="Z107" t="s">
        <v>2145</v>
      </c>
      <c r="AA107" t="s">
        <v>2165</v>
      </c>
      <c r="AB107" t="s">
        <v>2165</v>
      </c>
      <c r="AC107" t="s">
        <v>2165</v>
      </c>
      <c r="AD107" t="s">
        <v>2164</v>
      </c>
      <c r="AG107" t="s">
        <v>2114</v>
      </c>
      <c r="AI107" t="s">
        <v>755</v>
      </c>
      <c r="AK107" t="s">
        <v>2163</v>
      </c>
      <c r="AM107">
        <v>1</v>
      </c>
      <c r="AN107">
        <v>0.4</v>
      </c>
      <c r="AO107">
        <v>73</v>
      </c>
      <c r="AQ107" t="s">
        <v>2166</v>
      </c>
      <c r="AS107">
        <v>0</v>
      </c>
      <c r="AU107" t="s">
        <v>2175</v>
      </c>
    </row>
    <row r="108" spans="5:50" ht="18.75" customHeight="1">
      <c r="AG108" t="s">
        <v>1944</v>
      </c>
    </row>
    <row r="109" spans="5:50" ht="18.75" customHeight="1">
      <c r="AG109" t="s">
        <v>1945</v>
      </c>
    </row>
    <row r="110" spans="5:50" ht="18.75" customHeight="1">
      <c r="E110" t="s">
        <v>1901</v>
      </c>
      <c r="AG110" t="s">
        <v>1946</v>
      </c>
      <c r="AH110" t="s">
        <v>1947</v>
      </c>
      <c r="AI110" t="s">
        <v>1948</v>
      </c>
      <c r="AJ110" t="s">
        <v>1949</v>
      </c>
      <c r="AK110" t="s">
        <v>1950</v>
      </c>
      <c r="AL110" t="s">
        <v>1951</v>
      </c>
      <c r="AM110" t="s">
        <v>1952</v>
      </c>
      <c r="AS110" t="s">
        <v>1953</v>
      </c>
      <c r="AU110" t="s">
        <v>1954</v>
      </c>
    </row>
    <row r="111" spans="5:50" ht="18.75" customHeight="1">
      <c r="E111" t="s">
        <v>1902</v>
      </c>
      <c r="F111" t="s">
        <v>1903</v>
      </c>
      <c r="G111" t="s">
        <v>1904</v>
      </c>
      <c r="H111" t="s">
        <v>1905</v>
      </c>
      <c r="I111" t="s">
        <v>1906</v>
      </c>
      <c r="J111" t="s">
        <v>1907</v>
      </c>
      <c r="K111" t="s">
        <v>1908</v>
      </c>
      <c r="R111" t="s">
        <v>1971</v>
      </c>
      <c r="S111" t="s">
        <v>1909</v>
      </c>
      <c r="T111" t="s">
        <v>1910</v>
      </c>
      <c r="Y111" t="s">
        <v>1911</v>
      </c>
      <c r="Z111" t="s">
        <v>1912</v>
      </c>
    </row>
    <row r="112" spans="5:50" ht="18.75" customHeight="1">
      <c r="K112">
        <v>2020</v>
      </c>
      <c r="L112">
        <v>2021</v>
      </c>
      <c r="M112">
        <v>2022</v>
      </c>
      <c r="N112">
        <v>2023</v>
      </c>
      <c r="O112">
        <v>2024</v>
      </c>
      <c r="P112">
        <v>2025</v>
      </c>
      <c r="Q112">
        <v>2026</v>
      </c>
      <c r="R112" t="s">
        <v>1913</v>
      </c>
      <c r="U112" t="s">
        <v>1914</v>
      </c>
      <c r="V112" t="s">
        <v>1915</v>
      </c>
      <c r="W112" t="s">
        <v>1916</v>
      </c>
      <c r="X112" t="s">
        <v>1917</v>
      </c>
      <c r="AA112" t="s">
        <v>1918</v>
      </c>
      <c r="AD112" t="s">
        <v>1919</v>
      </c>
      <c r="AM112" t="s">
        <v>1955</v>
      </c>
      <c r="AN112" t="s">
        <v>1956</v>
      </c>
      <c r="AO112" t="s">
        <v>1957</v>
      </c>
      <c r="AP112" t="s">
        <v>1958</v>
      </c>
      <c r="AQ112" t="s">
        <v>1959</v>
      </c>
      <c r="AR112" t="s">
        <v>1959</v>
      </c>
      <c r="AU112" t="s">
        <v>1960</v>
      </c>
      <c r="AV112" t="s">
        <v>1961</v>
      </c>
      <c r="AW112" t="s">
        <v>1962</v>
      </c>
      <c r="AX112" t="s">
        <v>1963</v>
      </c>
    </row>
    <row r="113" spans="5:50" ht="18.75" customHeight="1">
      <c r="R113" t="s">
        <v>1920</v>
      </c>
      <c r="S113" t="s">
        <v>1972</v>
      </c>
      <c r="T113" t="s">
        <v>1921</v>
      </c>
      <c r="AA113" t="s">
        <v>1922</v>
      </c>
      <c r="AB113" t="s">
        <v>1923</v>
      </c>
      <c r="AC113" t="s">
        <v>1924</v>
      </c>
      <c r="AD113" t="s">
        <v>1925</v>
      </c>
      <c r="AE113" t="s">
        <v>1926</v>
      </c>
      <c r="AM113" t="s">
        <v>1964</v>
      </c>
      <c r="AN113" t="s">
        <v>1964</v>
      </c>
    </row>
    <row r="114" spans="5:50" ht="18.75" customHeight="1">
      <c r="E114" t="s">
        <v>867</v>
      </c>
      <c r="F114">
        <v>0</v>
      </c>
      <c r="G114" t="s">
        <v>2176</v>
      </c>
      <c r="H114">
        <v>0</v>
      </c>
      <c r="I114" t="s">
        <v>1928</v>
      </c>
      <c r="J114">
        <v>10000</v>
      </c>
      <c r="K114">
        <v>0</v>
      </c>
      <c r="L114">
        <v>1700</v>
      </c>
      <c r="M114">
        <v>2000</v>
      </c>
      <c r="N114">
        <v>1800</v>
      </c>
      <c r="O114">
        <v>1800</v>
      </c>
      <c r="P114">
        <v>1700</v>
      </c>
      <c r="Q114">
        <v>1000</v>
      </c>
      <c r="R114" t="s">
        <v>1934</v>
      </c>
      <c r="S114" t="s">
        <v>1934</v>
      </c>
      <c r="T114" t="s">
        <v>1934</v>
      </c>
      <c r="U114" t="s">
        <v>2177</v>
      </c>
      <c r="V114" t="s">
        <v>2178</v>
      </c>
      <c r="W114" t="s">
        <v>1934</v>
      </c>
      <c r="Y114" t="s">
        <v>2179</v>
      </c>
      <c r="AA114" t="s">
        <v>2180</v>
      </c>
      <c r="AB114" t="s">
        <v>2180</v>
      </c>
      <c r="AC114" t="s">
        <v>2180</v>
      </c>
      <c r="AD114" t="s">
        <v>2181</v>
      </c>
      <c r="AE114" t="s">
        <v>1967</v>
      </c>
      <c r="AG114" t="s">
        <v>2114</v>
      </c>
      <c r="AI114" t="s">
        <v>867</v>
      </c>
      <c r="AK114" t="s">
        <v>2187</v>
      </c>
      <c r="AM114">
        <v>1</v>
      </c>
      <c r="AN114">
        <v>40</v>
      </c>
      <c r="AO114" t="s">
        <v>2188</v>
      </c>
      <c r="AP114" t="s">
        <v>2188</v>
      </c>
      <c r="AQ114" t="s">
        <v>2189</v>
      </c>
      <c r="AR114" t="s">
        <v>2190</v>
      </c>
      <c r="AS114">
        <v>0</v>
      </c>
      <c r="AU114" t="s">
        <v>2191</v>
      </c>
      <c r="AW114" t="s">
        <v>28</v>
      </c>
    </row>
    <row r="115" spans="5:50" ht="18.75" customHeight="1">
      <c r="E115" t="s">
        <v>867</v>
      </c>
      <c r="F115">
        <v>0</v>
      </c>
      <c r="G115" t="s">
        <v>2182</v>
      </c>
      <c r="H115">
        <v>0</v>
      </c>
      <c r="I115" t="s">
        <v>1928</v>
      </c>
      <c r="J115">
        <v>9000</v>
      </c>
      <c r="K115">
        <v>0</v>
      </c>
      <c r="L115">
        <v>500</v>
      </c>
      <c r="M115">
        <v>2100</v>
      </c>
      <c r="N115">
        <v>2000</v>
      </c>
      <c r="O115">
        <v>1900</v>
      </c>
      <c r="P115">
        <v>1500</v>
      </c>
      <c r="Q115">
        <v>1000</v>
      </c>
      <c r="R115" t="s">
        <v>2183</v>
      </c>
      <c r="S115" t="s">
        <v>2184</v>
      </c>
      <c r="U115">
        <v>0</v>
      </c>
      <c r="W115">
        <v>0</v>
      </c>
      <c r="Y115" t="s">
        <v>2179</v>
      </c>
      <c r="AA115" t="s">
        <v>2185</v>
      </c>
      <c r="AB115" t="s">
        <v>2185</v>
      </c>
      <c r="AC115" t="s">
        <v>2185</v>
      </c>
      <c r="AD115" t="s">
        <v>2186</v>
      </c>
      <c r="AE115" t="s">
        <v>1967</v>
      </c>
      <c r="AG115" t="s">
        <v>2114</v>
      </c>
      <c r="AI115" t="s">
        <v>867</v>
      </c>
      <c r="AK115" t="s">
        <v>2192</v>
      </c>
      <c r="AM115">
        <v>0.4</v>
      </c>
      <c r="AN115">
        <v>100</v>
      </c>
      <c r="AO115">
        <v>48</v>
      </c>
      <c r="AP115">
        <v>48</v>
      </c>
      <c r="AQ115" t="s">
        <v>2189</v>
      </c>
      <c r="AR115" t="s">
        <v>2193</v>
      </c>
      <c r="AS115">
        <v>0</v>
      </c>
      <c r="AU115" t="s">
        <v>2194</v>
      </c>
      <c r="AW115" t="s">
        <v>28</v>
      </c>
    </row>
    <row r="116" spans="5:50" ht="18.75" customHeight="1">
      <c r="AA116" t="s">
        <v>56</v>
      </c>
      <c r="AB116" t="s">
        <v>56</v>
      </c>
      <c r="AC116" t="s">
        <v>56</v>
      </c>
      <c r="AD116" t="s">
        <v>56</v>
      </c>
      <c r="AE116" t="s">
        <v>56</v>
      </c>
      <c r="AG116" t="s">
        <v>1944</v>
      </c>
    </row>
    <row r="117" spans="5:50" ht="18.75" customHeight="1">
      <c r="AA117" t="s">
        <v>56</v>
      </c>
      <c r="AB117" t="s">
        <v>56</v>
      </c>
      <c r="AC117" t="s">
        <v>56</v>
      </c>
      <c r="AD117" t="s">
        <v>56</v>
      </c>
      <c r="AE117" t="s">
        <v>56</v>
      </c>
      <c r="AG117" t="s">
        <v>1945</v>
      </c>
    </row>
    <row r="118" spans="5:50" ht="18.75" customHeight="1">
      <c r="E118" t="s">
        <v>1901</v>
      </c>
      <c r="AG118" t="s">
        <v>1946</v>
      </c>
      <c r="AH118" t="s">
        <v>1947</v>
      </c>
      <c r="AI118" t="s">
        <v>1948</v>
      </c>
      <c r="AJ118" t="s">
        <v>1949</v>
      </c>
      <c r="AK118" t="s">
        <v>1950</v>
      </c>
      <c r="AL118" t="s">
        <v>1951</v>
      </c>
      <c r="AM118" t="s">
        <v>1952</v>
      </c>
      <c r="AS118" t="s">
        <v>1953</v>
      </c>
      <c r="AU118" t="s">
        <v>1954</v>
      </c>
    </row>
    <row r="119" spans="5:50" ht="18.75" customHeight="1">
      <c r="E119" t="s">
        <v>1902</v>
      </c>
      <c r="F119" t="s">
        <v>1903</v>
      </c>
      <c r="G119" t="s">
        <v>1904</v>
      </c>
      <c r="H119" t="s">
        <v>1905</v>
      </c>
      <c r="I119" t="s">
        <v>1906</v>
      </c>
      <c r="J119" t="s">
        <v>1907</v>
      </c>
      <c r="K119" t="s">
        <v>1908</v>
      </c>
      <c r="R119" t="s">
        <v>1971</v>
      </c>
      <c r="S119" t="s">
        <v>1909</v>
      </c>
      <c r="T119" t="s">
        <v>1910</v>
      </c>
      <c r="Y119" t="s">
        <v>1911</v>
      </c>
      <c r="Z119" t="s">
        <v>1912</v>
      </c>
    </row>
    <row r="120" spans="5:50" ht="18.75" customHeight="1">
      <c r="K120">
        <v>2020</v>
      </c>
      <c r="L120">
        <v>2021</v>
      </c>
      <c r="M120">
        <v>2022</v>
      </c>
      <c r="N120">
        <v>2023</v>
      </c>
      <c r="O120">
        <v>2024</v>
      </c>
      <c r="P120">
        <v>2025</v>
      </c>
      <c r="Q120">
        <v>2026</v>
      </c>
      <c r="R120" t="s">
        <v>1913</v>
      </c>
      <c r="U120" t="s">
        <v>1914</v>
      </c>
      <c r="V120" t="s">
        <v>1915</v>
      </c>
      <c r="W120" t="s">
        <v>1916</v>
      </c>
      <c r="X120" t="s">
        <v>1917</v>
      </c>
      <c r="AA120" t="s">
        <v>1918</v>
      </c>
      <c r="AD120" t="s">
        <v>1919</v>
      </c>
      <c r="AM120" t="s">
        <v>1955</v>
      </c>
      <c r="AN120" t="s">
        <v>1956</v>
      </c>
      <c r="AO120" t="s">
        <v>1957</v>
      </c>
      <c r="AP120" t="s">
        <v>1958</v>
      </c>
      <c r="AQ120" t="s">
        <v>1959</v>
      </c>
      <c r="AR120" t="s">
        <v>1959</v>
      </c>
      <c r="AU120" t="s">
        <v>1960</v>
      </c>
      <c r="AV120" t="s">
        <v>1961</v>
      </c>
      <c r="AW120" t="s">
        <v>1962</v>
      </c>
      <c r="AX120" t="s">
        <v>1963</v>
      </c>
    </row>
    <row r="121" spans="5:50" ht="18.75" customHeight="1">
      <c r="R121" t="s">
        <v>1920</v>
      </c>
      <c r="S121" t="s">
        <v>1972</v>
      </c>
      <c r="T121" t="s">
        <v>1921</v>
      </c>
      <c r="AA121" t="s">
        <v>1922</v>
      </c>
      <c r="AB121" t="s">
        <v>1923</v>
      </c>
      <c r="AC121" t="s">
        <v>1924</v>
      </c>
      <c r="AD121" t="s">
        <v>1925</v>
      </c>
      <c r="AE121" t="s">
        <v>1926</v>
      </c>
      <c r="AM121" t="s">
        <v>1964</v>
      </c>
      <c r="AN121" t="s">
        <v>1964</v>
      </c>
    </row>
    <row r="122" spans="5:50" ht="18.75" customHeight="1">
      <c r="E122" t="s">
        <v>962</v>
      </c>
      <c r="F122" t="s">
        <v>2195</v>
      </c>
      <c r="G122" t="s">
        <v>963</v>
      </c>
      <c r="H122" t="s">
        <v>964</v>
      </c>
      <c r="I122" t="s">
        <v>1928</v>
      </c>
      <c r="J122" t="s">
        <v>2196</v>
      </c>
      <c r="K122">
        <v>0</v>
      </c>
      <c r="L122">
        <v>1159.3599999999999</v>
      </c>
      <c r="M122">
        <v>965.76</v>
      </c>
      <c r="N122">
        <v>404.88</v>
      </c>
      <c r="O122">
        <v>0</v>
      </c>
      <c r="P122">
        <v>0</v>
      </c>
      <c r="Q122">
        <v>0</v>
      </c>
      <c r="R122" t="s">
        <v>1934</v>
      </c>
      <c r="S122" t="s">
        <v>1967</v>
      </c>
      <c r="T122" t="s">
        <v>1934</v>
      </c>
      <c r="U122" t="s">
        <v>1967</v>
      </c>
      <c r="V122" t="s">
        <v>1934</v>
      </c>
      <c r="W122" t="s">
        <v>2197</v>
      </c>
      <c r="X122" t="s">
        <v>2198</v>
      </c>
      <c r="Y122" t="s">
        <v>2199</v>
      </c>
      <c r="Z122" t="s">
        <v>2199</v>
      </c>
      <c r="AA122" t="s">
        <v>1934</v>
      </c>
      <c r="AB122" t="s">
        <v>1040</v>
      </c>
      <c r="AC122" t="s">
        <v>1934</v>
      </c>
      <c r="AD122" t="s">
        <v>2200</v>
      </c>
      <c r="AE122" t="s">
        <v>1967</v>
      </c>
      <c r="AG122" t="s">
        <v>2114</v>
      </c>
      <c r="AH122" t="s">
        <v>2233</v>
      </c>
      <c r="AI122" t="s">
        <v>962</v>
      </c>
      <c r="AJ122" t="s">
        <v>2195</v>
      </c>
      <c r="AK122" t="s">
        <v>963</v>
      </c>
      <c r="AL122" t="s">
        <v>964</v>
      </c>
      <c r="AM122">
        <v>1</v>
      </c>
      <c r="AN122">
        <v>1</v>
      </c>
      <c r="AO122" t="s">
        <v>2234</v>
      </c>
      <c r="AP122" t="s">
        <v>2234</v>
      </c>
      <c r="AQ122" t="s">
        <v>1039</v>
      </c>
      <c r="AR122" t="s">
        <v>1040</v>
      </c>
      <c r="AS122">
        <v>0</v>
      </c>
      <c r="AU122" t="s">
        <v>2235</v>
      </c>
      <c r="AV122" t="s">
        <v>1040</v>
      </c>
      <c r="AW122" t="s">
        <v>1934</v>
      </c>
      <c r="AX122" t="s">
        <v>1934</v>
      </c>
    </row>
    <row r="123" spans="5:50" ht="18.75" customHeight="1">
      <c r="E123" t="s">
        <v>962</v>
      </c>
      <c r="F123" t="s">
        <v>2195</v>
      </c>
      <c r="G123" t="s">
        <v>2201</v>
      </c>
      <c r="H123" t="s">
        <v>2202</v>
      </c>
      <c r="I123" t="s">
        <v>1928</v>
      </c>
      <c r="J123" t="s">
        <v>2203</v>
      </c>
      <c r="K123">
        <v>0</v>
      </c>
      <c r="L123">
        <v>600</v>
      </c>
      <c r="M123">
        <v>650</v>
      </c>
      <c r="N123">
        <v>600</v>
      </c>
      <c r="O123">
        <v>0</v>
      </c>
      <c r="P123">
        <v>0</v>
      </c>
      <c r="Q123">
        <v>0</v>
      </c>
      <c r="R123" t="s">
        <v>1934</v>
      </c>
      <c r="S123" t="s">
        <v>1967</v>
      </c>
      <c r="T123" t="s">
        <v>1934</v>
      </c>
      <c r="U123" t="s">
        <v>1039</v>
      </c>
      <c r="V123" t="s">
        <v>1040</v>
      </c>
      <c r="W123" t="s">
        <v>2204</v>
      </c>
      <c r="X123" t="s">
        <v>2205</v>
      </c>
      <c r="Y123" t="s">
        <v>2199</v>
      </c>
      <c r="Z123" t="s">
        <v>2199</v>
      </c>
      <c r="AA123" t="s">
        <v>1934</v>
      </c>
      <c r="AB123" t="s">
        <v>1934</v>
      </c>
      <c r="AC123" t="s">
        <v>1934</v>
      </c>
      <c r="AD123" t="s">
        <v>2206</v>
      </c>
      <c r="AE123" t="s">
        <v>1934</v>
      </c>
      <c r="AG123" t="s">
        <v>2114</v>
      </c>
      <c r="AH123" t="s">
        <v>2233</v>
      </c>
      <c r="AI123" t="s">
        <v>962</v>
      </c>
      <c r="AJ123" t="s">
        <v>2195</v>
      </c>
      <c r="AK123" t="s">
        <v>986</v>
      </c>
      <c r="AL123" t="s">
        <v>2202</v>
      </c>
      <c r="AM123" t="s">
        <v>2236</v>
      </c>
      <c r="AN123" t="s">
        <v>2236</v>
      </c>
      <c r="AO123" t="s">
        <v>2237</v>
      </c>
      <c r="AP123" t="s">
        <v>2238</v>
      </c>
      <c r="AQ123" t="s">
        <v>1039</v>
      </c>
      <c r="AR123" t="s">
        <v>1040</v>
      </c>
      <c r="AS123">
        <v>0</v>
      </c>
      <c r="AU123" t="s">
        <v>2239</v>
      </c>
      <c r="AV123" t="s">
        <v>1040</v>
      </c>
      <c r="AW123" t="s">
        <v>1934</v>
      </c>
      <c r="AX123" t="s">
        <v>1934</v>
      </c>
    </row>
    <row r="124" spans="5:50" ht="18.75" customHeight="1">
      <c r="E124" t="s">
        <v>962</v>
      </c>
      <c r="F124" t="s">
        <v>2195</v>
      </c>
      <c r="G124" t="s">
        <v>1007</v>
      </c>
      <c r="H124" t="s">
        <v>2207</v>
      </c>
      <c r="I124" t="s">
        <v>1986</v>
      </c>
      <c r="J124" t="s">
        <v>2208</v>
      </c>
      <c r="K124">
        <v>0</v>
      </c>
      <c r="L124">
        <v>150</v>
      </c>
      <c r="M124">
        <v>250</v>
      </c>
      <c r="N124">
        <v>250</v>
      </c>
      <c r="O124">
        <v>130</v>
      </c>
      <c r="P124">
        <v>0</v>
      </c>
      <c r="Q124">
        <v>0</v>
      </c>
      <c r="R124" t="s">
        <v>1934</v>
      </c>
      <c r="S124" t="s">
        <v>1967</v>
      </c>
      <c r="T124" t="s">
        <v>1934</v>
      </c>
      <c r="U124" t="s">
        <v>1039</v>
      </c>
      <c r="V124" t="s">
        <v>1040</v>
      </c>
      <c r="W124" t="s">
        <v>2204</v>
      </c>
      <c r="X124" t="s">
        <v>2205</v>
      </c>
      <c r="Y124" t="s">
        <v>2199</v>
      </c>
      <c r="Z124" t="s">
        <v>2199</v>
      </c>
      <c r="AA124" t="s">
        <v>2209</v>
      </c>
      <c r="AB124" t="s">
        <v>2210</v>
      </c>
      <c r="AC124" t="s">
        <v>2211</v>
      </c>
      <c r="AD124" t="s">
        <v>2212</v>
      </c>
      <c r="AE124" t="s">
        <v>1040</v>
      </c>
      <c r="AG124" t="s">
        <v>2114</v>
      </c>
      <c r="AH124" t="s">
        <v>2233</v>
      </c>
      <c r="AI124" t="s">
        <v>962</v>
      </c>
      <c r="AJ124" t="s">
        <v>2195</v>
      </c>
      <c r="AK124" t="s">
        <v>1007</v>
      </c>
      <c r="AL124" t="s">
        <v>2207</v>
      </c>
      <c r="AM124">
        <v>1</v>
      </c>
      <c r="AN124">
        <v>1</v>
      </c>
      <c r="AO124" t="s">
        <v>2240</v>
      </c>
      <c r="AP124" t="s">
        <v>2240</v>
      </c>
      <c r="AQ124" t="s">
        <v>1039</v>
      </c>
      <c r="AR124" t="s">
        <v>1040</v>
      </c>
      <c r="AS124">
        <v>0</v>
      </c>
      <c r="AU124" t="s">
        <v>2241</v>
      </c>
      <c r="AV124" t="s">
        <v>1040</v>
      </c>
      <c r="AW124" t="s">
        <v>1934</v>
      </c>
      <c r="AX124" t="s">
        <v>1934</v>
      </c>
    </row>
    <row r="125" spans="5:50" ht="18.75" customHeight="1">
      <c r="E125" t="s">
        <v>962</v>
      </c>
      <c r="F125" t="s">
        <v>2195</v>
      </c>
      <c r="G125" t="s">
        <v>2213</v>
      </c>
      <c r="H125" t="s">
        <v>1015</v>
      </c>
      <c r="I125" t="s">
        <v>1928</v>
      </c>
      <c r="J125" t="s">
        <v>2214</v>
      </c>
      <c r="K125">
        <v>0</v>
      </c>
      <c r="L125">
        <v>100</v>
      </c>
      <c r="M125">
        <v>300</v>
      </c>
      <c r="N125">
        <v>600</v>
      </c>
      <c r="O125">
        <v>0</v>
      </c>
      <c r="P125">
        <v>0</v>
      </c>
      <c r="Q125">
        <v>0</v>
      </c>
      <c r="R125" t="s">
        <v>1040</v>
      </c>
      <c r="S125" t="s">
        <v>2215</v>
      </c>
      <c r="T125" t="s">
        <v>2216</v>
      </c>
      <c r="U125" t="s">
        <v>2217</v>
      </c>
      <c r="V125" t="s">
        <v>2218</v>
      </c>
      <c r="W125" t="s">
        <v>2219</v>
      </c>
      <c r="X125" t="s">
        <v>2220</v>
      </c>
      <c r="Y125" t="s">
        <v>2221</v>
      </c>
      <c r="AA125" t="s">
        <v>1934</v>
      </c>
      <c r="AB125" t="s">
        <v>1040</v>
      </c>
      <c r="AC125" t="s">
        <v>1934</v>
      </c>
      <c r="AD125" t="s">
        <v>2222</v>
      </c>
      <c r="AE125" t="s">
        <v>1967</v>
      </c>
      <c r="AG125" t="s">
        <v>2114</v>
      </c>
      <c r="AH125" t="s">
        <v>2233</v>
      </c>
      <c r="AI125" t="s">
        <v>962</v>
      </c>
      <c r="AJ125" t="s">
        <v>2195</v>
      </c>
      <c r="AK125" t="s">
        <v>2213</v>
      </c>
      <c r="AL125" t="s">
        <v>1015</v>
      </c>
      <c r="AM125" t="s">
        <v>2242</v>
      </c>
      <c r="AN125">
        <v>1</v>
      </c>
      <c r="AO125" t="s">
        <v>2243</v>
      </c>
      <c r="AP125" t="s">
        <v>2243</v>
      </c>
      <c r="AQ125" t="s">
        <v>1039</v>
      </c>
      <c r="AR125" t="s">
        <v>1040</v>
      </c>
      <c r="AS125">
        <v>0</v>
      </c>
      <c r="AU125" t="s">
        <v>2244</v>
      </c>
      <c r="AV125" t="s">
        <v>1040</v>
      </c>
      <c r="AW125" t="s">
        <v>1934</v>
      </c>
      <c r="AX125" t="s">
        <v>1934</v>
      </c>
    </row>
    <row r="126" spans="5:50" ht="18.75" customHeight="1">
      <c r="E126" t="s">
        <v>962</v>
      </c>
      <c r="F126" t="s">
        <v>2195</v>
      </c>
      <c r="G126" t="s">
        <v>1027</v>
      </c>
      <c r="H126" t="s">
        <v>1028</v>
      </c>
      <c r="I126" t="s">
        <v>1928</v>
      </c>
      <c r="J126" t="s">
        <v>2223</v>
      </c>
      <c r="K126">
        <v>0</v>
      </c>
      <c r="L126">
        <v>2989</v>
      </c>
      <c r="M126">
        <v>2989</v>
      </c>
      <c r="N126">
        <v>2562</v>
      </c>
      <c r="O126">
        <v>0</v>
      </c>
      <c r="P126">
        <v>0</v>
      </c>
      <c r="Q126">
        <v>0</v>
      </c>
      <c r="R126" t="s">
        <v>1934</v>
      </c>
      <c r="S126" t="s">
        <v>2224</v>
      </c>
      <c r="T126" t="s">
        <v>1934</v>
      </c>
      <c r="U126" t="s">
        <v>2225</v>
      </c>
      <c r="V126" t="s">
        <v>2226</v>
      </c>
      <c r="W126" t="s">
        <v>2224</v>
      </c>
      <c r="X126" t="s">
        <v>1934</v>
      </c>
      <c r="Y126" t="s">
        <v>2227</v>
      </c>
      <c r="Z126" t="s">
        <v>2227</v>
      </c>
      <c r="AA126" t="s">
        <v>2228</v>
      </c>
      <c r="AB126" t="s">
        <v>2228</v>
      </c>
      <c r="AC126" t="s">
        <v>1934</v>
      </c>
      <c r="AD126" t="s">
        <v>2229</v>
      </c>
      <c r="AE126" t="s">
        <v>2230</v>
      </c>
      <c r="AG126" t="s">
        <v>2114</v>
      </c>
      <c r="AH126" t="s">
        <v>2233</v>
      </c>
      <c r="AI126" t="s">
        <v>962</v>
      </c>
      <c r="AJ126" t="s">
        <v>2195</v>
      </c>
      <c r="AK126" t="s">
        <v>1027</v>
      </c>
      <c r="AL126" t="s">
        <v>2245</v>
      </c>
      <c r="AM126">
        <v>1</v>
      </c>
      <c r="AN126">
        <v>1</v>
      </c>
      <c r="AO126" t="s">
        <v>2240</v>
      </c>
      <c r="AP126" t="s">
        <v>2240</v>
      </c>
      <c r="AQ126" t="s">
        <v>1039</v>
      </c>
      <c r="AR126" t="s">
        <v>1040</v>
      </c>
      <c r="AS126">
        <v>0</v>
      </c>
      <c r="AU126" t="s">
        <v>2246</v>
      </c>
      <c r="AV126" t="s">
        <v>1040</v>
      </c>
      <c r="AW126" t="s">
        <v>1934</v>
      </c>
      <c r="AX126" t="s">
        <v>1934</v>
      </c>
    </row>
    <row r="127" spans="5:50" ht="18.75" customHeight="1">
      <c r="E127" t="s">
        <v>962</v>
      </c>
      <c r="F127" t="s">
        <v>2195</v>
      </c>
      <c r="G127" t="s">
        <v>1057</v>
      </c>
      <c r="H127" t="s">
        <v>1058</v>
      </c>
      <c r="I127" t="s">
        <v>1928</v>
      </c>
      <c r="J127" t="s">
        <v>2231</v>
      </c>
      <c r="K127">
        <v>0</v>
      </c>
      <c r="L127">
        <v>100</v>
      </c>
      <c r="M127">
        <v>100</v>
      </c>
      <c r="N127">
        <v>100</v>
      </c>
      <c r="O127">
        <v>0</v>
      </c>
      <c r="P127">
        <v>0</v>
      </c>
      <c r="Q127">
        <v>0</v>
      </c>
      <c r="R127" t="s">
        <v>1934</v>
      </c>
      <c r="S127" t="s">
        <v>2224</v>
      </c>
      <c r="T127" t="s">
        <v>1934</v>
      </c>
      <c r="U127" t="s">
        <v>2232</v>
      </c>
      <c r="V127" t="s">
        <v>2226</v>
      </c>
      <c r="W127" t="s">
        <v>2224</v>
      </c>
      <c r="X127" t="s">
        <v>1934</v>
      </c>
      <c r="Y127" t="s">
        <v>2227</v>
      </c>
      <c r="Z127" t="s">
        <v>2227</v>
      </c>
      <c r="AA127" t="s">
        <v>1934</v>
      </c>
      <c r="AB127" t="s">
        <v>1934</v>
      </c>
      <c r="AC127" t="s">
        <v>1934</v>
      </c>
      <c r="AD127" t="s">
        <v>2229</v>
      </c>
      <c r="AE127" t="s">
        <v>2230</v>
      </c>
      <c r="AG127" t="s">
        <v>2114</v>
      </c>
      <c r="AH127" t="s">
        <v>2233</v>
      </c>
      <c r="AI127" t="s">
        <v>962</v>
      </c>
      <c r="AJ127" t="s">
        <v>2195</v>
      </c>
      <c r="AK127" t="s">
        <v>1057</v>
      </c>
      <c r="AL127" t="s">
        <v>1058</v>
      </c>
      <c r="AM127">
        <v>1</v>
      </c>
      <c r="AN127">
        <v>1</v>
      </c>
      <c r="AO127" t="s">
        <v>2234</v>
      </c>
      <c r="AP127" t="s">
        <v>2234</v>
      </c>
      <c r="AQ127" t="s">
        <v>1039</v>
      </c>
      <c r="AR127" t="s">
        <v>1040</v>
      </c>
      <c r="AS127">
        <v>0</v>
      </c>
      <c r="AU127" t="s">
        <v>2247</v>
      </c>
      <c r="AV127" t="s">
        <v>1040</v>
      </c>
      <c r="AW127" t="s">
        <v>1934</v>
      </c>
      <c r="AX127" t="s">
        <v>1934</v>
      </c>
    </row>
    <row r="129" spans="5:50" ht="18.75" customHeight="1">
      <c r="AG129" t="s">
        <v>1944</v>
      </c>
    </row>
    <row r="130" spans="5:50" ht="18.75" customHeight="1">
      <c r="AG130" t="s">
        <v>1945</v>
      </c>
    </row>
    <row r="131" spans="5:50" ht="18.75" customHeight="1">
      <c r="E131" t="s">
        <v>1901</v>
      </c>
      <c r="AG131" t="s">
        <v>1946</v>
      </c>
      <c r="AH131" t="s">
        <v>1947</v>
      </c>
      <c r="AI131" t="s">
        <v>1948</v>
      </c>
      <c r="AJ131" t="s">
        <v>1949</v>
      </c>
      <c r="AK131" t="s">
        <v>1950</v>
      </c>
      <c r="AL131" t="s">
        <v>1951</v>
      </c>
      <c r="AM131" t="s">
        <v>1952</v>
      </c>
      <c r="AS131" t="s">
        <v>1953</v>
      </c>
      <c r="AU131" t="s">
        <v>1954</v>
      </c>
    </row>
    <row r="132" spans="5:50" ht="18.75" customHeight="1">
      <c r="E132" t="s">
        <v>1902</v>
      </c>
      <c r="F132" t="s">
        <v>1903</v>
      </c>
      <c r="G132" t="s">
        <v>1904</v>
      </c>
      <c r="H132" t="s">
        <v>1905</v>
      </c>
      <c r="I132" t="s">
        <v>1906</v>
      </c>
      <c r="J132" t="s">
        <v>1907</v>
      </c>
      <c r="K132" t="s">
        <v>1908</v>
      </c>
      <c r="R132" t="s">
        <v>1971</v>
      </c>
      <c r="S132" t="s">
        <v>1909</v>
      </c>
      <c r="T132" t="s">
        <v>1910</v>
      </c>
      <c r="Y132" t="s">
        <v>1911</v>
      </c>
      <c r="Z132" t="s">
        <v>1912</v>
      </c>
    </row>
    <row r="133" spans="5:50" ht="18.75" customHeight="1">
      <c r="K133">
        <v>2020</v>
      </c>
      <c r="L133">
        <v>2021</v>
      </c>
      <c r="M133">
        <v>2022</v>
      </c>
      <c r="N133">
        <v>2023</v>
      </c>
      <c r="O133">
        <v>2024</v>
      </c>
      <c r="P133">
        <v>2025</v>
      </c>
      <c r="Q133">
        <v>2026</v>
      </c>
      <c r="R133" t="s">
        <v>1913</v>
      </c>
      <c r="U133" t="s">
        <v>1914</v>
      </c>
      <c r="V133" t="s">
        <v>1915</v>
      </c>
      <c r="W133" t="s">
        <v>1916</v>
      </c>
      <c r="X133" t="s">
        <v>1917</v>
      </c>
      <c r="AA133" t="s">
        <v>1918</v>
      </c>
      <c r="AD133" t="s">
        <v>1919</v>
      </c>
      <c r="AM133" t="s">
        <v>1955</v>
      </c>
      <c r="AN133" t="s">
        <v>1956</v>
      </c>
      <c r="AO133" t="s">
        <v>1957</v>
      </c>
      <c r="AP133" t="s">
        <v>1958</v>
      </c>
      <c r="AQ133" t="s">
        <v>1959</v>
      </c>
      <c r="AR133" t="s">
        <v>1959</v>
      </c>
      <c r="AU133" t="s">
        <v>1960</v>
      </c>
      <c r="AV133" t="s">
        <v>1961</v>
      </c>
      <c r="AW133" t="s">
        <v>1962</v>
      </c>
      <c r="AX133" t="s">
        <v>1963</v>
      </c>
    </row>
    <row r="134" spans="5:50" ht="18.75" customHeight="1">
      <c r="R134" t="s">
        <v>1920</v>
      </c>
      <c r="S134" t="s">
        <v>1972</v>
      </c>
      <c r="T134" t="s">
        <v>1921</v>
      </c>
      <c r="AA134" t="s">
        <v>1922</v>
      </c>
      <c r="AB134" t="s">
        <v>1923</v>
      </c>
      <c r="AC134" t="s">
        <v>1924</v>
      </c>
      <c r="AD134" t="s">
        <v>1925</v>
      </c>
      <c r="AE134" t="s">
        <v>1926</v>
      </c>
      <c r="AM134" t="s">
        <v>1964</v>
      </c>
      <c r="AN134" t="s">
        <v>1964</v>
      </c>
    </row>
    <row r="135" spans="5:50" ht="18.75" customHeight="1">
      <c r="E135" t="s">
        <v>1070</v>
      </c>
      <c r="F135" t="s">
        <v>2248</v>
      </c>
      <c r="G135" t="s">
        <v>2249</v>
      </c>
      <c r="H135" t="s">
        <v>1096</v>
      </c>
      <c r="I135" t="s">
        <v>2090</v>
      </c>
      <c r="J135">
        <v>2400</v>
      </c>
      <c r="K135">
        <v>0</v>
      </c>
      <c r="L135">
        <v>0</v>
      </c>
      <c r="M135">
        <v>200</v>
      </c>
      <c r="N135">
        <v>732</v>
      </c>
      <c r="O135">
        <v>734</v>
      </c>
      <c r="P135">
        <v>734</v>
      </c>
      <c r="Q135">
        <v>0</v>
      </c>
      <c r="R135" t="s">
        <v>2250</v>
      </c>
      <c r="S135" t="s">
        <v>2251</v>
      </c>
      <c r="U135">
        <v>0</v>
      </c>
      <c r="W135">
        <v>0</v>
      </c>
      <c r="Y135" t="s">
        <v>2252</v>
      </c>
      <c r="AA135" t="s">
        <v>2117</v>
      </c>
      <c r="AB135" t="s">
        <v>2253</v>
      </c>
      <c r="AC135" t="s">
        <v>2117</v>
      </c>
      <c r="AD135" t="s">
        <v>2254</v>
      </c>
      <c r="AE135" t="s">
        <v>2255</v>
      </c>
      <c r="AG135" t="s">
        <v>2114</v>
      </c>
      <c r="AI135" t="s">
        <v>1070</v>
      </c>
      <c r="AK135" t="s">
        <v>2267</v>
      </c>
      <c r="AM135" t="s">
        <v>2268</v>
      </c>
      <c r="AN135" t="s">
        <v>2269</v>
      </c>
      <c r="AO135" t="s">
        <v>2270</v>
      </c>
      <c r="AQ135" t="s">
        <v>2271</v>
      </c>
      <c r="AS135">
        <v>0</v>
      </c>
      <c r="AU135" t="s">
        <v>2286</v>
      </c>
      <c r="AW135" t="s">
        <v>2272</v>
      </c>
    </row>
    <row r="136" spans="5:50" ht="18.75" customHeight="1">
      <c r="AK136" t="s">
        <v>2273</v>
      </c>
      <c r="AM136">
        <v>1</v>
      </c>
      <c r="AN136">
        <v>1</v>
      </c>
      <c r="AO136" t="s">
        <v>2274</v>
      </c>
      <c r="AQ136" t="s">
        <v>2275</v>
      </c>
    </row>
    <row r="137" spans="5:50" ht="18.75" customHeight="1">
      <c r="AK137" t="s">
        <v>2276</v>
      </c>
      <c r="AM137" t="s">
        <v>2277</v>
      </c>
      <c r="AN137" t="s">
        <v>2278</v>
      </c>
      <c r="AO137" t="s">
        <v>2279</v>
      </c>
    </row>
    <row r="138" spans="5:50" ht="18.75" customHeight="1">
      <c r="E138" t="s">
        <v>1070</v>
      </c>
      <c r="F138">
        <v>0</v>
      </c>
      <c r="G138" t="s">
        <v>2256</v>
      </c>
      <c r="H138">
        <v>0</v>
      </c>
      <c r="I138" t="s">
        <v>2090</v>
      </c>
      <c r="J138">
        <v>1000</v>
      </c>
      <c r="K138">
        <v>0</v>
      </c>
      <c r="L138">
        <v>0</v>
      </c>
      <c r="M138">
        <v>200</v>
      </c>
      <c r="N138">
        <v>200</v>
      </c>
      <c r="O138">
        <v>300</v>
      </c>
      <c r="P138">
        <v>300</v>
      </c>
      <c r="Q138">
        <v>0</v>
      </c>
      <c r="R138" t="s">
        <v>2257</v>
      </c>
      <c r="S138" t="s">
        <v>2258</v>
      </c>
      <c r="U138">
        <v>0</v>
      </c>
      <c r="W138">
        <v>0</v>
      </c>
      <c r="Y138" t="s">
        <v>2259</v>
      </c>
      <c r="AA138" t="s">
        <v>2260</v>
      </c>
      <c r="AB138" t="s">
        <v>2253</v>
      </c>
      <c r="AC138" t="s">
        <v>2117</v>
      </c>
      <c r="AD138" t="s">
        <v>2261</v>
      </c>
      <c r="AE138" t="s">
        <v>2262</v>
      </c>
      <c r="AG138" t="s">
        <v>2114</v>
      </c>
      <c r="AI138" t="s">
        <v>1070</v>
      </c>
      <c r="AK138" t="s">
        <v>1131</v>
      </c>
      <c r="AM138">
        <v>0.4</v>
      </c>
      <c r="AN138">
        <v>0.4</v>
      </c>
      <c r="AO138" t="s">
        <v>2280</v>
      </c>
      <c r="AP138" t="s">
        <v>2281</v>
      </c>
      <c r="AQ138" t="s">
        <v>2166</v>
      </c>
      <c r="AR138" t="s">
        <v>2012</v>
      </c>
      <c r="AS138">
        <v>0</v>
      </c>
      <c r="AU138" t="s">
        <v>2282</v>
      </c>
      <c r="AV138" t="s">
        <v>2012</v>
      </c>
      <c r="AW138" t="s">
        <v>2272</v>
      </c>
      <c r="AX138" t="s">
        <v>2283</v>
      </c>
    </row>
    <row r="139" spans="5:50" ht="18.75" customHeight="1">
      <c r="E139" t="s">
        <v>1070</v>
      </c>
      <c r="F139">
        <v>0</v>
      </c>
      <c r="G139" t="s">
        <v>2263</v>
      </c>
      <c r="H139">
        <v>0</v>
      </c>
      <c r="I139" t="s">
        <v>2090</v>
      </c>
      <c r="J139">
        <v>1000</v>
      </c>
      <c r="K139">
        <v>0</v>
      </c>
      <c r="L139">
        <v>0</v>
      </c>
      <c r="M139">
        <v>200</v>
      </c>
      <c r="N139">
        <v>200</v>
      </c>
      <c r="O139">
        <v>300</v>
      </c>
      <c r="P139">
        <v>300</v>
      </c>
      <c r="Q139">
        <v>0</v>
      </c>
      <c r="R139" t="s">
        <v>2264</v>
      </c>
      <c r="S139" t="s">
        <v>2265</v>
      </c>
      <c r="U139">
        <v>0</v>
      </c>
      <c r="W139">
        <v>0</v>
      </c>
      <c r="Y139" t="s">
        <v>2266</v>
      </c>
      <c r="AA139" t="s">
        <v>2260</v>
      </c>
      <c r="AB139" t="s">
        <v>2253</v>
      </c>
      <c r="AC139" t="s">
        <v>2117</v>
      </c>
      <c r="AD139" t="s">
        <v>2261</v>
      </c>
      <c r="AE139" t="s">
        <v>2262</v>
      </c>
      <c r="AG139" t="s">
        <v>2114</v>
      </c>
      <c r="AI139" t="s">
        <v>1070</v>
      </c>
      <c r="AK139" t="s">
        <v>1147</v>
      </c>
      <c r="AM139">
        <v>0.4</v>
      </c>
      <c r="AN139">
        <v>0.4</v>
      </c>
      <c r="AO139" t="s">
        <v>2280</v>
      </c>
      <c r="AP139" t="s">
        <v>2284</v>
      </c>
      <c r="AQ139" t="s">
        <v>2166</v>
      </c>
      <c r="AR139" t="s">
        <v>2012</v>
      </c>
      <c r="AS139">
        <v>0</v>
      </c>
      <c r="AU139" t="s">
        <v>2285</v>
      </c>
      <c r="AV139" t="s">
        <v>2012</v>
      </c>
      <c r="AW139" t="s">
        <v>2272</v>
      </c>
      <c r="AX139" t="s">
        <v>2283</v>
      </c>
    </row>
    <row r="140" spans="5:50" ht="18.75" customHeight="1">
      <c r="AA140" t="s">
        <v>56</v>
      </c>
      <c r="AB140" t="s">
        <v>56</v>
      </c>
      <c r="AC140" t="s">
        <v>56</v>
      </c>
      <c r="AD140" t="s">
        <v>56</v>
      </c>
      <c r="AE140" t="s">
        <v>56</v>
      </c>
    </row>
    <row r="141" spans="5:50" ht="18.75" customHeight="1">
      <c r="AG141" t="s">
        <v>1944</v>
      </c>
    </row>
    <row r="142" spans="5:50" ht="18.75" customHeight="1">
      <c r="AG142" t="s">
        <v>1945</v>
      </c>
    </row>
    <row r="143" spans="5:50" ht="18.75" customHeight="1">
      <c r="E143" t="s">
        <v>1901</v>
      </c>
      <c r="AG143" t="s">
        <v>1946</v>
      </c>
      <c r="AH143" t="s">
        <v>1947</v>
      </c>
      <c r="AI143" t="s">
        <v>1948</v>
      </c>
      <c r="AJ143" t="s">
        <v>1949</v>
      </c>
      <c r="AK143" t="s">
        <v>1950</v>
      </c>
      <c r="AL143" t="s">
        <v>1951</v>
      </c>
      <c r="AM143" t="s">
        <v>1952</v>
      </c>
      <c r="AS143" t="s">
        <v>1953</v>
      </c>
      <c r="AU143" t="s">
        <v>1954</v>
      </c>
    </row>
    <row r="144" spans="5:50" ht="18.75" customHeight="1">
      <c r="E144" t="s">
        <v>1902</v>
      </c>
      <c r="F144" t="s">
        <v>1903</v>
      </c>
      <c r="G144" t="s">
        <v>1904</v>
      </c>
      <c r="H144" t="s">
        <v>1905</v>
      </c>
      <c r="I144" t="s">
        <v>1906</v>
      </c>
      <c r="J144" t="s">
        <v>1907</v>
      </c>
      <c r="K144" t="s">
        <v>1908</v>
      </c>
      <c r="R144" t="s">
        <v>1971</v>
      </c>
      <c r="S144" t="s">
        <v>1909</v>
      </c>
      <c r="T144" t="s">
        <v>1910</v>
      </c>
      <c r="Y144" t="s">
        <v>1911</v>
      </c>
      <c r="Z144" t="s">
        <v>1912</v>
      </c>
    </row>
    <row r="145" spans="5:50" ht="18.75" customHeight="1">
      <c r="K145">
        <v>2020</v>
      </c>
      <c r="L145">
        <v>2021</v>
      </c>
      <c r="M145">
        <v>2022</v>
      </c>
      <c r="N145">
        <v>2023</v>
      </c>
      <c r="O145">
        <v>2024</v>
      </c>
      <c r="P145">
        <v>2025</v>
      </c>
      <c r="Q145">
        <v>2026</v>
      </c>
      <c r="R145" t="s">
        <v>1913</v>
      </c>
      <c r="U145" t="s">
        <v>1914</v>
      </c>
      <c r="V145" t="s">
        <v>1915</v>
      </c>
      <c r="W145" t="s">
        <v>1916</v>
      </c>
      <c r="X145" t="s">
        <v>1917</v>
      </c>
      <c r="AA145" t="s">
        <v>1918</v>
      </c>
      <c r="AD145" t="s">
        <v>1919</v>
      </c>
      <c r="AM145" t="s">
        <v>1955</v>
      </c>
      <c r="AN145" t="s">
        <v>1956</v>
      </c>
      <c r="AO145" t="s">
        <v>1957</v>
      </c>
      <c r="AP145" t="s">
        <v>1958</v>
      </c>
      <c r="AQ145" t="s">
        <v>1959</v>
      </c>
      <c r="AR145" t="s">
        <v>1959</v>
      </c>
      <c r="AU145" t="s">
        <v>1960</v>
      </c>
      <c r="AV145" t="s">
        <v>1961</v>
      </c>
      <c r="AW145" t="s">
        <v>1962</v>
      </c>
      <c r="AX145" t="s">
        <v>1963</v>
      </c>
    </row>
    <row r="146" spans="5:50" ht="18.75" customHeight="1">
      <c r="R146" t="s">
        <v>1920</v>
      </c>
      <c r="S146" t="s">
        <v>1972</v>
      </c>
      <c r="T146" t="s">
        <v>1921</v>
      </c>
      <c r="AA146" t="s">
        <v>1922</v>
      </c>
      <c r="AB146" t="s">
        <v>1923</v>
      </c>
      <c r="AC146" t="s">
        <v>1924</v>
      </c>
      <c r="AD146" t="s">
        <v>1925</v>
      </c>
      <c r="AE146" t="s">
        <v>1926</v>
      </c>
      <c r="AM146" t="s">
        <v>1964</v>
      </c>
      <c r="AN146" t="s">
        <v>1964</v>
      </c>
    </row>
    <row r="147" spans="5:50" ht="18.75" customHeight="1">
      <c r="E147" t="s">
        <v>2316</v>
      </c>
      <c r="F147" t="s">
        <v>2317</v>
      </c>
      <c r="G147" t="s">
        <v>2318</v>
      </c>
      <c r="H147" t="s">
        <v>2319</v>
      </c>
      <c r="I147" t="s">
        <v>2090</v>
      </c>
      <c r="J147" t="s">
        <v>2287</v>
      </c>
      <c r="K147">
        <v>0</v>
      </c>
      <c r="L147">
        <v>0</v>
      </c>
      <c r="M147">
        <v>20</v>
      </c>
      <c r="N147">
        <v>20</v>
      </c>
      <c r="O147">
        <v>30</v>
      </c>
      <c r="P147">
        <v>30</v>
      </c>
      <c r="Q147">
        <v>0</v>
      </c>
      <c r="R147" t="s">
        <v>1168</v>
      </c>
      <c r="S147" t="s">
        <v>2288</v>
      </c>
      <c r="T147" t="s">
        <v>2289</v>
      </c>
      <c r="U147" t="s">
        <v>2290</v>
      </c>
      <c r="V147" t="s">
        <v>2291</v>
      </c>
      <c r="W147" t="s">
        <v>2288</v>
      </c>
      <c r="X147" t="s">
        <v>2289</v>
      </c>
      <c r="Y147" t="s">
        <v>2292</v>
      </c>
      <c r="Z147" t="s">
        <v>2292</v>
      </c>
      <c r="AA147" t="s">
        <v>2293</v>
      </c>
      <c r="AB147" t="s">
        <v>2294</v>
      </c>
      <c r="AC147" t="s">
        <v>2294</v>
      </c>
      <c r="AD147" t="s">
        <v>2295</v>
      </c>
      <c r="AE147">
        <v>0</v>
      </c>
      <c r="AG147" t="s">
        <v>2323</v>
      </c>
      <c r="AH147" t="s">
        <v>2324</v>
      </c>
      <c r="AI147" t="s">
        <v>2316</v>
      </c>
      <c r="AJ147" t="s">
        <v>2317</v>
      </c>
      <c r="AK147" t="s">
        <v>2318</v>
      </c>
      <c r="AL147" t="s">
        <v>2319</v>
      </c>
      <c r="AM147">
        <v>0</v>
      </c>
      <c r="AN147">
        <v>1</v>
      </c>
      <c r="AO147">
        <v>46</v>
      </c>
      <c r="AP147">
        <v>46</v>
      </c>
      <c r="AQ147" t="s">
        <v>1039</v>
      </c>
      <c r="AR147" t="s">
        <v>1040</v>
      </c>
      <c r="AS147">
        <v>0</v>
      </c>
      <c r="AU147" t="s">
        <v>2325</v>
      </c>
      <c r="AV147" t="s">
        <v>2326</v>
      </c>
      <c r="AW147" t="s">
        <v>1168</v>
      </c>
      <c r="AX147" t="s">
        <v>1168</v>
      </c>
    </row>
    <row r="148" spans="5:50" ht="18.75" customHeight="1">
      <c r="E148" t="s">
        <v>2316</v>
      </c>
      <c r="F148" t="s">
        <v>2317</v>
      </c>
      <c r="G148" t="s">
        <v>2320</v>
      </c>
      <c r="H148" t="s">
        <v>2321</v>
      </c>
      <c r="I148" t="s">
        <v>2090</v>
      </c>
      <c r="J148" t="s">
        <v>2296</v>
      </c>
      <c r="K148">
        <v>0</v>
      </c>
      <c r="L148">
        <v>0</v>
      </c>
      <c r="M148">
        <v>150</v>
      </c>
      <c r="N148">
        <v>250</v>
      </c>
      <c r="O148">
        <v>300</v>
      </c>
      <c r="P148">
        <v>400</v>
      </c>
      <c r="Q148">
        <v>0</v>
      </c>
      <c r="R148" t="s">
        <v>1168</v>
      </c>
      <c r="S148" t="s">
        <v>2288</v>
      </c>
      <c r="T148" t="s">
        <v>2289</v>
      </c>
      <c r="U148" t="s">
        <v>2288</v>
      </c>
      <c r="V148" t="s">
        <v>2289</v>
      </c>
      <c r="W148" t="s">
        <v>2288</v>
      </c>
      <c r="X148" t="s">
        <v>2289</v>
      </c>
      <c r="Y148" t="s">
        <v>2297</v>
      </c>
      <c r="Z148" t="s">
        <v>2297</v>
      </c>
      <c r="AA148" t="s">
        <v>2298</v>
      </c>
      <c r="AB148" t="s">
        <v>2294</v>
      </c>
      <c r="AC148" t="s">
        <v>2294</v>
      </c>
      <c r="AD148" t="s">
        <v>2299</v>
      </c>
      <c r="AE148">
        <v>0.3</v>
      </c>
      <c r="AG148" t="s">
        <v>2323</v>
      </c>
      <c r="AH148" t="s">
        <v>2324</v>
      </c>
      <c r="AI148" t="s">
        <v>2316</v>
      </c>
      <c r="AJ148" t="s">
        <v>2317</v>
      </c>
      <c r="AK148" t="s">
        <v>2320</v>
      </c>
      <c r="AL148" t="s">
        <v>2321</v>
      </c>
      <c r="AM148">
        <v>0</v>
      </c>
      <c r="AN148">
        <v>1</v>
      </c>
      <c r="AO148">
        <v>46</v>
      </c>
      <c r="AP148">
        <v>46</v>
      </c>
      <c r="AQ148" t="s">
        <v>1039</v>
      </c>
      <c r="AR148" t="s">
        <v>1040</v>
      </c>
      <c r="AS148">
        <v>0</v>
      </c>
      <c r="AU148" t="s">
        <v>2325</v>
      </c>
      <c r="AV148" t="s">
        <v>2326</v>
      </c>
      <c r="AW148" t="s">
        <v>1168</v>
      </c>
      <c r="AX148" t="s">
        <v>1168</v>
      </c>
    </row>
    <row r="149" spans="5:50" ht="18.75" customHeight="1">
      <c r="E149" t="s">
        <v>2316</v>
      </c>
      <c r="F149" t="s">
        <v>2317</v>
      </c>
      <c r="G149" t="s">
        <v>1897</v>
      </c>
      <c r="H149" t="s">
        <v>2322</v>
      </c>
      <c r="I149" t="s">
        <v>1973</v>
      </c>
      <c r="J149" t="s">
        <v>2300</v>
      </c>
      <c r="K149">
        <v>0</v>
      </c>
      <c r="L149">
        <v>100</v>
      </c>
      <c r="M149">
        <v>200</v>
      </c>
      <c r="N149">
        <v>300</v>
      </c>
      <c r="O149">
        <v>500</v>
      </c>
      <c r="P149">
        <v>600</v>
      </c>
      <c r="Q149">
        <v>0</v>
      </c>
      <c r="R149" t="s">
        <v>1168</v>
      </c>
      <c r="S149" t="s">
        <v>2288</v>
      </c>
      <c r="T149" t="s">
        <v>2289</v>
      </c>
      <c r="U149" t="s">
        <v>2301</v>
      </c>
      <c r="V149" t="s">
        <v>2302</v>
      </c>
      <c r="W149" t="s">
        <v>2288</v>
      </c>
      <c r="X149" t="s">
        <v>2289</v>
      </c>
      <c r="Y149" t="s">
        <v>2292</v>
      </c>
      <c r="Z149" t="s">
        <v>2292</v>
      </c>
      <c r="AA149" t="s">
        <v>2294</v>
      </c>
      <c r="AB149" t="s">
        <v>2294</v>
      </c>
      <c r="AC149" t="s">
        <v>2294</v>
      </c>
      <c r="AD149" t="s">
        <v>2295</v>
      </c>
      <c r="AE149">
        <v>0</v>
      </c>
      <c r="AG149" t="s">
        <v>2323</v>
      </c>
      <c r="AH149" t="s">
        <v>2324</v>
      </c>
      <c r="AI149" t="s">
        <v>2316</v>
      </c>
      <c r="AJ149" t="s">
        <v>2317</v>
      </c>
      <c r="AK149" t="s">
        <v>1897</v>
      </c>
      <c r="AL149" t="s">
        <v>2322</v>
      </c>
      <c r="AM149">
        <v>0</v>
      </c>
      <c r="AN149">
        <v>1</v>
      </c>
      <c r="AO149">
        <v>46</v>
      </c>
      <c r="AP149">
        <v>46</v>
      </c>
      <c r="AQ149" t="s">
        <v>1039</v>
      </c>
      <c r="AR149" t="s">
        <v>1040</v>
      </c>
      <c r="AS149">
        <v>0</v>
      </c>
      <c r="AU149" t="s">
        <v>2325</v>
      </c>
      <c r="AV149" t="s">
        <v>2326</v>
      </c>
      <c r="AW149" t="s">
        <v>1168</v>
      </c>
      <c r="AX149" t="s">
        <v>1168</v>
      </c>
    </row>
    <row r="150" spans="5:50" ht="18.75" customHeight="1">
      <c r="E150" t="s">
        <v>2303</v>
      </c>
      <c r="F150" t="s">
        <v>2304</v>
      </c>
      <c r="G150" t="s">
        <v>2305</v>
      </c>
      <c r="H150" t="s">
        <v>2306</v>
      </c>
      <c r="I150" t="s">
        <v>2307</v>
      </c>
      <c r="J150" t="s">
        <v>2214</v>
      </c>
      <c r="K150">
        <v>56</v>
      </c>
      <c r="L150">
        <v>40</v>
      </c>
      <c r="M150">
        <v>114</v>
      </c>
      <c r="N150">
        <v>280</v>
      </c>
      <c r="O150">
        <v>204</v>
      </c>
      <c r="P150">
        <v>306</v>
      </c>
      <c r="Q150">
        <v>0</v>
      </c>
      <c r="R150" t="s">
        <v>1168</v>
      </c>
      <c r="S150" t="s">
        <v>2288</v>
      </c>
      <c r="T150" t="s">
        <v>2289</v>
      </c>
      <c r="U150" t="s">
        <v>2308</v>
      </c>
      <c r="V150" t="s">
        <v>2309</v>
      </c>
      <c r="W150" t="s">
        <v>2310</v>
      </c>
      <c r="X150" t="s">
        <v>2311</v>
      </c>
      <c r="Y150" t="s">
        <v>2312</v>
      </c>
      <c r="Z150" t="s">
        <v>2313</v>
      </c>
      <c r="AA150" t="s">
        <v>2314</v>
      </c>
      <c r="AB150" t="s">
        <v>2294</v>
      </c>
      <c r="AC150" t="s">
        <v>2294</v>
      </c>
      <c r="AD150" t="s">
        <v>2295</v>
      </c>
      <c r="AE150">
        <v>0</v>
      </c>
      <c r="AG150" t="s">
        <v>2323</v>
      </c>
      <c r="AH150" t="s">
        <v>2324</v>
      </c>
      <c r="AI150" t="s">
        <v>2316</v>
      </c>
      <c r="AJ150" t="s">
        <v>2317</v>
      </c>
      <c r="AK150" t="s">
        <v>2305</v>
      </c>
      <c r="AL150" t="s">
        <v>2306</v>
      </c>
      <c r="AM150">
        <v>0</v>
      </c>
      <c r="AN150">
        <v>1</v>
      </c>
      <c r="AO150">
        <v>46</v>
      </c>
      <c r="AP150">
        <v>46</v>
      </c>
      <c r="AQ150" t="s">
        <v>1039</v>
      </c>
      <c r="AR150" t="s">
        <v>1040</v>
      </c>
      <c r="AS150">
        <v>0</v>
      </c>
      <c r="AU150" t="s">
        <v>2325</v>
      </c>
      <c r="AV150" t="s">
        <v>2326</v>
      </c>
      <c r="AW150" t="s">
        <v>1168</v>
      </c>
      <c r="AX150" t="s">
        <v>1168</v>
      </c>
    </row>
    <row r="151" spans="5:50" ht="18.75" customHeight="1">
      <c r="I151" t="s">
        <v>2315</v>
      </c>
    </row>
    <row r="153" spans="5:50" ht="18.75" customHeight="1">
      <c r="AG153" t="s">
        <v>1944</v>
      </c>
    </row>
    <row r="154" spans="5:50" ht="18.75" customHeight="1">
      <c r="AG154" t="s">
        <v>1945</v>
      </c>
    </row>
    <row r="155" spans="5:50" ht="18.75" customHeight="1">
      <c r="E155" t="s">
        <v>1901</v>
      </c>
      <c r="AG155" t="s">
        <v>1946</v>
      </c>
      <c r="AH155" t="s">
        <v>1947</v>
      </c>
      <c r="AI155" t="s">
        <v>1948</v>
      </c>
      <c r="AJ155" t="s">
        <v>1949</v>
      </c>
      <c r="AK155" t="s">
        <v>2339</v>
      </c>
      <c r="AL155" t="s">
        <v>1951</v>
      </c>
      <c r="AM155" t="s">
        <v>1952</v>
      </c>
      <c r="AS155" t="s">
        <v>1953</v>
      </c>
      <c r="AU155" t="s">
        <v>1954</v>
      </c>
    </row>
    <row r="156" spans="5:50" ht="18.75" customHeight="1">
      <c r="E156" t="s">
        <v>1902</v>
      </c>
      <c r="F156" t="s">
        <v>1903</v>
      </c>
      <c r="G156" t="s">
        <v>1904</v>
      </c>
      <c r="H156" t="s">
        <v>1905</v>
      </c>
      <c r="I156" t="s">
        <v>1906</v>
      </c>
      <c r="J156" t="s">
        <v>1907</v>
      </c>
      <c r="K156" t="s">
        <v>1908</v>
      </c>
      <c r="R156" t="s">
        <v>1971</v>
      </c>
      <c r="S156" t="s">
        <v>1909</v>
      </c>
      <c r="T156" t="s">
        <v>1910</v>
      </c>
      <c r="Y156" t="s">
        <v>1911</v>
      </c>
      <c r="Z156" t="s">
        <v>1912</v>
      </c>
    </row>
    <row r="157" spans="5:50" ht="18.75" customHeight="1">
      <c r="K157">
        <v>2020</v>
      </c>
      <c r="L157">
        <v>2021</v>
      </c>
      <c r="M157">
        <v>2022</v>
      </c>
      <c r="N157">
        <v>2023</v>
      </c>
      <c r="O157">
        <v>2024</v>
      </c>
      <c r="P157">
        <v>2025</v>
      </c>
      <c r="Q157">
        <v>2026</v>
      </c>
      <c r="R157" t="s">
        <v>1913</v>
      </c>
      <c r="U157" t="s">
        <v>1914</v>
      </c>
      <c r="V157" t="s">
        <v>1915</v>
      </c>
      <c r="W157" t="s">
        <v>1916</v>
      </c>
      <c r="X157" t="s">
        <v>1917</v>
      </c>
      <c r="AA157" t="s">
        <v>1918</v>
      </c>
      <c r="AD157" t="s">
        <v>1919</v>
      </c>
      <c r="AM157" t="s">
        <v>1955</v>
      </c>
      <c r="AN157" t="s">
        <v>1956</v>
      </c>
      <c r="AO157" t="s">
        <v>1957</v>
      </c>
      <c r="AP157" t="s">
        <v>1958</v>
      </c>
      <c r="AQ157" t="s">
        <v>1959</v>
      </c>
      <c r="AR157" t="s">
        <v>1959</v>
      </c>
      <c r="AU157" t="s">
        <v>1960</v>
      </c>
      <c r="AV157" t="s">
        <v>1961</v>
      </c>
      <c r="AW157" t="s">
        <v>1962</v>
      </c>
      <c r="AX157" t="s">
        <v>1963</v>
      </c>
    </row>
    <row r="158" spans="5:50" ht="18.75" customHeight="1">
      <c r="K158">
        <v>2020</v>
      </c>
      <c r="L158">
        <v>2021</v>
      </c>
      <c r="M158">
        <v>2022</v>
      </c>
      <c r="N158">
        <v>2023</v>
      </c>
      <c r="O158">
        <v>2024</v>
      </c>
      <c r="P158">
        <v>2025</v>
      </c>
      <c r="Q158">
        <v>2026</v>
      </c>
      <c r="R158" t="s">
        <v>1920</v>
      </c>
      <c r="S158" t="s">
        <v>1972</v>
      </c>
      <c r="T158" t="s">
        <v>1921</v>
      </c>
      <c r="AA158" t="s">
        <v>1922</v>
      </c>
      <c r="AB158" t="s">
        <v>1923</v>
      </c>
      <c r="AC158" t="s">
        <v>1924</v>
      </c>
      <c r="AD158" t="s">
        <v>1925</v>
      </c>
      <c r="AE158" t="s">
        <v>1926</v>
      </c>
      <c r="AM158" t="s">
        <v>1964</v>
      </c>
      <c r="AN158" t="s">
        <v>1964</v>
      </c>
    </row>
    <row r="159" spans="5:50" ht="18.75" customHeight="1">
      <c r="E159" t="s">
        <v>2327</v>
      </c>
      <c r="F159" t="s">
        <v>2328</v>
      </c>
      <c r="G159" t="s">
        <v>1207</v>
      </c>
      <c r="H159" t="s">
        <v>2329</v>
      </c>
      <c r="I159" t="s">
        <v>1928</v>
      </c>
      <c r="J159">
        <v>20</v>
      </c>
      <c r="K159">
        <v>0</v>
      </c>
      <c r="L159">
        <v>20</v>
      </c>
      <c r="M159">
        <v>0</v>
      </c>
      <c r="N159">
        <v>0</v>
      </c>
      <c r="O159">
        <v>0</v>
      </c>
      <c r="P159">
        <v>0</v>
      </c>
      <c r="R159" t="s">
        <v>129</v>
      </c>
      <c r="S159" t="s">
        <v>129</v>
      </c>
      <c r="T159" t="s">
        <v>129</v>
      </c>
      <c r="U159" t="s">
        <v>129</v>
      </c>
      <c r="V159" t="s">
        <v>129</v>
      </c>
      <c r="W159" t="s">
        <v>129</v>
      </c>
      <c r="X159" t="s">
        <v>129</v>
      </c>
      <c r="Y159" t="s">
        <v>2330</v>
      </c>
      <c r="Z159" t="s">
        <v>2331</v>
      </c>
      <c r="AA159" t="s">
        <v>129</v>
      </c>
      <c r="AB159" t="s">
        <v>129</v>
      </c>
      <c r="AC159" t="s">
        <v>129</v>
      </c>
      <c r="AD159" t="s">
        <v>2332</v>
      </c>
      <c r="AE159" t="s">
        <v>1967</v>
      </c>
      <c r="AG159" t="s">
        <v>2340</v>
      </c>
      <c r="AH159" t="s">
        <v>2341</v>
      </c>
      <c r="AI159" t="s">
        <v>1206</v>
      </c>
      <c r="AJ159" t="s">
        <v>2328</v>
      </c>
      <c r="AK159" t="s">
        <v>1207</v>
      </c>
      <c r="AL159" t="s">
        <v>2329</v>
      </c>
      <c r="AM159">
        <v>0</v>
      </c>
      <c r="AN159">
        <v>0</v>
      </c>
      <c r="AO159" t="s">
        <v>2342</v>
      </c>
      <c r="AP159" t="s">
        <v>2343</v>
      </c>
      <c r="AQ159" t="s">
        <v>2166</v>
      </c>
      <c r="AR159" t="s">
        <v>2012</v>
      </c>
      <c r="AS159">
        <v>1</v>
      </c>
      <c r="AU159" t="s">
        <v>129</v>
      </c>
      <c r="AV159" t="s">
        <v>129</v>
      </c>
      <c r="AW159" t="s">
        <v>2344</v>
      </c>
      <c r="AX159" t="s">
        <v>2345</v>
      </c>
    </row>
    <row r="160" spans="5:50" ht="18.75" customHeight="1">
      <c r="E160" t="s">
        <v>2327</v>
      </c>
      <c r="F160" t="s">
        <v>2328</v>
      </c>
      <c r="G160" t="s">
        <v>1227</v>
      </c>
      <c r="H160" t="s">
        <v>2333</v>
      </c>
      <c r="I160" t="s">
        <v>2102</v>
      </c>
      <c r="J160">
        <v>542</v>
      </c>
      <c r="K160">
        <v>0</v>
      </c>
      <c r="L160">
        <v>0</v>
      </c>
      <c r="M160">
        <v>542</v>
      </c>
      <c r="N160">
        <v>0</v>
      </c>
      <c r="O160">
        <v>0</v>
      </c>
      <c r="P160">
        <v>0</v>
      </c>
      <c r="R160" t="s">
        <v>129</v>
      </c>
      <c r="S160" t="s">
        <v>129</v>
      </c>
      <c r="T160" t="s">
        <v>129</v>
      </c>
      <c r="U160" t="s">
        <v>129</v>
      </c>
      <c r="V160" t="s">
        <v>129</v>
      </c>
      <c r="W160" t="s">
        <v>129</v>
      </c>
      <c r="X160" t="s">
        <v>129</v>
      </c>
      <c r="Y160" t="s">
        <v>2330</v>
      </c>
      <c r="Z160" t="s">
        <v>2331</v>
      </c>
      <c r="AA160" t="s">
        <v>129</v>
      </c>
      <c r="AB160" t="s">
        <v>129</v>
      </c>
      <c r="AC160" t="s">
        <v>129</v>
      </c>
      <c r="AD160" t="s">
        <v>2334</v>
      </c>
      <c r="AE160" t="s">
        <v>1967</v>
      </c>
      <c r="AG160" t="s">
        <v>2340</v>
      </c>
      <c r="AH160" t="s">
        <v>2341</v>
      </c>
      <c r="AI160" t="s">
        <v>1206</v>
      </c>
      <c r="AJ160" t="s">
        <v>2328</v>
      </c>
      <c r="AK160" t="s">
        <v>1227</v>
      </c>
      <c r="AL160" t="s">
        <v>2333</v>
      </c>
      <c r="AM160">
        <v>0</v>
      </c>
      <c r="AN160">
        <v>0</v>
      </c>
      <c r="AO160" t="s">
        <v>2342</v>
      </c>
      <c r="AP160" t="s">
        <v>2343</v>
      </c>
      <c r="AQ160" t="s">
        <v>2166</v>
      </c>
      <c r="AR160" t="s">
        <v>2012</v>
      </c>
      <c r="AS160">
        <v>1</v>
      </c>
      <c r="AU160" t="s">
        <v>129</v>
      </c>
      <c r="AV160" t="s">
        <v>129</v>
      </c>
      <c r="AW160" t="s">
        <v>2344</v>
      </c>
      <c r="AX160" t="s">
        <v>2345</v>
      </c>
    </row>
    <row r="161" spans="5:50" ht="18.75" customHeight="1">
      <c r="E161" t="s">
        <v>2327</v>
      </c>
      <c r="F161" t="s">
        <v>2328</v>
      </c>
      <c r="G161" t="s">
        <v>2335</v>
      </c>
      <c r="H161" t="s">
        <v>2336</v>
      </c>
      <c r="I161" t="s">
        <v>2099</v>
      </c>
      <c r="J161">
        <v>4294.57</v>
      </c>
      <c r="K161">
        <v>1300</v>
      </c>
      <c r="L161">
        <v>0.56999999999999995</v>
      </c>
      <c r="M161">
        <v>1984</v>
      </c>
      <c r="N161">
        <v>7</v>
      </c>
      <c r="O161">
        <v>7</v>
      </c>
      <c r="P161">
        <v>996</v>
      </c>
      <c r="R161" t="s">
        <v>129</v>
      </c>
      <c r="S161" t="s">
        <v>129</v>
      </c>
      <c r="T161" t="s">
        <v>129</v>
      </c>
      <c r="U161" t="s">
        <v>129</v>
      </c>
      <c r="V161" t="s">
        <v>129</v>
      </c>
      <c r="W161" t="s">
        <v>129</v>
      </c>
      <c r="X161" t="s">
        <v>129</v>
      </c>
      <c r="Y161" t="s">
        <v>2330</v>
      </c>
      <c r="Z161" t="s">
        <v>2331</v>
      </c>
      <c r="AA161" t="s">
        <v>129</v>
      </c>
      <c r="AB161" t="s">
        <v>129</v>
      </c>
      <c r="AC161" t="s">
        <v>129</v>
      </c>
      <c r="AD161" t="s">
        <v>2337</v>
      </c>
      <c r="AE161" t="s">
        <v>1967</v>
      </c>
      <c r="AG161" t="s">
        <v>2340</v>
      </c>
      <c r="AH161" t="s">
        <v>2341</v>
      </c>
      <c r="AI161" t="s">
        <v>1206</v>
      </c>
      <c r="AJ161" t="s">
        <v>2328</v>
      </c>
      <c r="AK161" t="s">
        <v>2335</v>
      </c>
      <c r="AL161" t="s">
        <v>2336</v>
      </c>
      <c r="AM161">
        <v>0</v>
      </c>
      <c r="AN161">
        <v>0</v>
      </c>
      <c r="AO161" t="s">
        <v>2342</v>
      </c>
      <c r="AP161" t="s">
        <v>2343</v>
      </c>
      <c r="AQ161" t="s">
        <v>2166</v>
      </c>
      <c r="AR161" t="s">
        <v>2012</v>
      </c>
      <c r="AS161">
        <v>1</v>
      </c>
      <c r="AU161" t="s">
        <v>129</v>
      </c>
      <c r="AV161" t="s">
        <v>129</v>
      </c>
      <c r="AW161" t="s">
        <v>2344</v>
      </c>
      <c r="AX161" t="s">
        <v>2345</v>
      </c>
    </row>
    <row r="162" spans="5:50" ht="18.75" customHeight="1">
      <c r="I162" t="s">
        <v>2338</v>
      </c>
      <c r="J162">
        <v>4856.57</v>
      </c>
    </row>
    <row r="164" spans="5:50" ht="18.75" customHeight="1">
      <c r="AG164" t="s">
        <v>1944</v>
      </c>
    </row>
    <row r="165" spans="5:50" ht="18.75" customHeight="1">
      <c r="AG165" t="s">
        <v>1945</v>
      </c>
    </row>
    <row r="166" spans="5:50" ht="18.75" customHeight="1">
      <c r="E166" t="s">
        <v>1901</v>
      </c>
      <c r="AG166" t="s">
        <v>1946</v>
      </c>
      <c r="AH166" t="s">
        <v>1947</v>
      </c>
      <c r="AI166" t="s">
        <v>1948</v>
      </c>
      <c r="AJ166" t="s">
        <v>1949</v>
      </c>
      <c r="AK166" t="s">
        <v>1950</v>
      </c>
      <c r="AL166" t="s">
        <v>1951</v>
      </c>
      <c r="AM166" t="s">
        <v>1952</v>
      </c>
      <c r="AS166" t="s">
        <v>1953</v>
      </c>
      <c r="AU166" t="s">
        <v>1954</v>
      </c>
    </row>
    <row r="167" spans="5:50" ht="18.75" customHeight="1">
      <c r="E167" t="s">
        <v>1902</v>
      </c>
      <c r="F167" t="s">
        <v>1903</v>
      </c>
      <c r="G167" t="s">
        <v>1904</v>
      </c>
      <c r="H167" t="s">
        <v>1905</v>
      </c>
      <c r="I167" t="s">
        <v>1906</v>
      </c>
      <c r="J167" t="s">
        <v>1907</v>
      </c>
      <c r="K167" t="s">
        <v>1908</v>
      </c>
      <c r="R167" t="s">
        <v>1971</v>
      </c>
      <c r="S167" t="s">
        <v>1909</v>
      </c>
      <c r="T167" t="s">
        <v>1910</v>
      </c>
      <c r="Y167" t="s">
        <v>1911</v>
      </c>
      <c r="Z167" t="s">
        <v>1912</v>
      </c>
    </row>
    <row r="168" spans="5:50" ht="18.75" customHeight="1">
      <c r="K168">
        <v>2020</v>
      </c>
      <c r="L168">
        <v>2021</v>
      </c>
      <c r="M168">
        <v>2022</v>
      </c>
      <c r="N168">
        <v>2023</v>
      </c>
      <c r="O168">
        <v>2024</v>
      </c>
      <c r="P168">
        <v>2025</v>
      </c>
      <c r="Q168">
        <v>2026</v>
      </c>
      <c r="R168" t="s">
        <v>1913</v>
      </c>
      <c r="U168" t="s">
        <v>1914</v>
      </c>
      <c r="V168" t="s">
        <v>1915</v>
      </c>
      <c r="W168" t="s">
        <v>1916</v>
      </c>
      <c r="X168" t="s">
        <v>1917</v>
      </c>
      <c r="AA168" t="s">
        <v>1918</v>
      </c>
      <c r="AD168" t="s">
        <v>1919</v>
      </c>
      <c r="AM168" t="s">
        <v>1955</v>
      </c>
      <c r="AN168" t="s">
        <v>1956</v>
      </c>
      <c r="AO168" t="s">
        <v>1957</v>
      </c>
      <c r="AP168" t="s">
        <v>1958</v>
      </c>
      <c r="AQ168" t="s">
        <v>1959</v>
      </c>
      <c r="AR168" t="s">
        <v>1959</v>
      </c>
      <c r="AU168" t="s">
        <v>1960</v>
      </c>
      <c r="AV168" t="s">
        <v>1961</v>
      </c>
      <c r="AW168" t="s">
        <v>1962</v>
      </c>
      <c r="AX168" t="s">
        <v>1963</v>
      </c>
    </row>
    <row r="169" spans="5:50" ht="18.75" customHeight="1">
      <c r="R169" t="s">
        <v>1920</v>
      </c>
      <c r="S169" t="s">
        <v>1972</v>
      </c>
      <c r="T169" t="s">
        <v>1921</v>
      </c>
      <c r="AA169" t="s">
        <v>1922</v>
      </c>
      <c r="AB169" t="s">
        <v>1923</v>
      </c>
      <c r="AC169" t="s">
        <v>1924</v>
      </c>
      <c r="AD169" t="s">
        <v>1925</v>
      </c>
      <c r="AE169" t="s">
        <v>1926</v>
      </c>
      <c r="AM169" t="s">
        <v>1964</v>
      </c>
      <c r="AN169" t="s">
        <v>1964</v>
      </c>
    </row>
    <row r="170" spans="5:50" ht="18.75" customHeight="1">
      <c r="E170" t="s">
        <v>1316</v>
      </c>
      <c r="F170" t="s">
        <v>2346</v>
      </c>
      <c r="G170" t="s">
        <v>1317</v>
      </c>
      <c r="H170" t="s">
        <v>2347</v>
      </c>
      <c r="I170" t="s">
        <v>2085</v>
      </c>
      <c r="J170">
        <v>3000</v>
      </c>
      <c r="K170">
        <v>0</v>
      </c>
      <c r="L170">
        <v>0</v>
      </c>
      <c r="M170">
        <v>1000</v>
      </c>
      <c r="N170">
        <v>2000</v>
      </c>
      <c r="O170">
        <v>0</v>
      </c>
      <c r="P170">
        <v>0</v>
      </c>
      <c r="Q170">
        <v>0</v>
      </c>
      <c r="R170" t="s">
        <v>129</v>
      </c>
      <c r="S170" t="s">
        <v>129</v>
      </c>
      <c r="T170" t="s">
        <v>129</v>
      </c>
      <c r="U170" t="s">
        <v>129</v>
      </c>
      <c r="V170" t="s">
        <v>129</v>
      </c>
      <c r="W170" t="s">
        <v>129</v>
      </c>
      <c r="X170" t="s">
        <v>129</v>
      </c>
      <c r="Y170" t="s">
        <v>2348</v>
      </c>
      <c r="Z170" t="s">
        <v>2349</v>
      </c>
      <c r="AA170" t="s">
        <v>129</v>
      </c>
      <c r="AB170" t="s">
        <v>129</v>
      </c>
      <c r="AC170" t="s">
        <v>129</v>
      </c>
      <c r="AD170" t="s">
        <v>2350</v>
      </c>
      <c r="AE170" t="s">
        <v>1967</v>
      </c>
      <c r="AG170" t="s">
        <v>2340</v>
      </c>
      <c r="AH170" t="s">
        <v>2341</v>
      </c>
      <c r="AI170" t="s">
        <v>1316</v>
      </c>
      <c r="AJ170" t="s">
        <v>2359</v>
      </c>
      <c r="AK170" t="s">
        <v>1317</v>
      </c>
      <c r="AL170" t="s">
        <v>2347</v>
      </c>
      <c r="AM170">
        <v>0</v>
      </c>
      <c r="AN170">
        <v>0</v>
      </c>
      <c r="AO170" t="s">
        <v>2360</v>
      </c>
      <c r="AP170" t="s">
        <v>2361</v>
      </c>
      <c r="AQ170" t="s">
        <v>2166</v>
      </c>
      <c r="AR170" t="s">
        <v>2012</v>
      </c>
      <c r="AS170">
        <v>0</v>
      </c>
      <c r="AU170" t="s">
        <v>1168</v>
      </c>
      <c r="AV170" t="s">
        <v>1168</v>
      </c>
      <c r="AW170" t="s">
        <v>2362</v>
      </c>
      <c r="AX170" t="s">
        <v>2363</v>
      </c>
    </row>
    <row r="171" spans="5:50" ht="18.75" customHeight="1">
      <c r="E171" t="s">
        <v>1316</v>
      </c>
      <c r="F171" t="s">
        <v>2346</v>
      </c>
      <c r="G171" t="s">
        <v>1338</v>
      </c>
      <c r="H171" t="s">
        <v>1339</v>
      </c>
      <c r="I171" t="s">
        <v>2102</v>
      </c>
      <c r="J171">
        <v>7160</v>
      </c>
      <c r="K171">
        <v>0</v>
      </c>
      <c r="L171">
        <v>500</v>
      </c>
      <c r="M171">
        <v>1200</v>
      </c>
      <c r="N171">
        <v>1500</v>
      </c>
      <c r="O171">
        <v>1500</v>
      </c>
      <c r="P171">
        <v>1500</v>
      </c>
      <c r="Q171">
        <v>960</v>
      </c>
      <c r="R171" t="s">
        <v>129</v>
      </c>
      <c r="S171" t="s">
        <v>129</v>
      </c>
      <c r="T171" t="s">
        <v>129</v>
      </c>
      <c r="U171" t="s">
        <v>129</v>
      </c>
      <c r="V171" t="s">
        <v>129</v>
      </c>
      <c r="W171" t="s">
        <v>129</v>
      </c>
      <c r="X171" t="s">
        <v>129</v>
      </c>
      <c r="Y171" t="s">
        <v>2351</v>
      </c>
      <c r="Z171" t="s">
        <v>2352</v>
      </c>
      <c r="AA171" t="s">
        <v>129</v>
      </c>
      <c r="AB171" t="s">
        <v>129</v>
      </c>
      <c r="AC171" t="s">
        <v>129</v>
      </c>
      <c r="AD171" t="s">
        <v>2353</v>
      </c>
      <c r="AE171" t="s">
        <v>1967</v>
      </c>
      <c r="AG171" t="s">
        <v>2340</v>
      </c>
      <c r="AH171" t="s">
        <v>2341</v>
      </c>
      <c r="AI171" t="s">
        <v>1316</v>
      </c>
      <c r="AJ171" t="s">
        <v>2359</v>
      </c>
      <c r="AK171" t="s">
        <v>1338</v>
      </c>
      <c r="AL171" t="s">
        <v>1339</v>
      </c>
      <c r="AM171">
        <v>0</v>
      </c>
      <c r="AN171">
        <v>0</v>
      </c>
      <c r="AO171" t="s">
        <v>2364</v>
      </c>
      <c r="AP171" t="s">
        <v>2365</v>
      </c>
      <c r="AQ171" t="s">
        <v>2166</v>
      </c>
      <c r="AR171" t="s">
        <v>2012</v>
      </c>
      <c r="AS171">
        <v>0</v>
      </c>
      <c r="AU171" t="s">
        <v>2366</v>
      </c>
      <c r="AV171" t="s">
        <v>2367</v>
      </c>
      <c r="AW171" t="s">
        <v>2368</v>
      </c>
      <c r="AX171" t="s">
        <v>2369</v>
      </c>
    </row>
    <row r="172" spans="5:50" ht="18.75" customHeight="1">
      <c r="E172" t="s">
        <v>1316</v>
      </c>
      <c r="F172" t="s">
        <v>2346</v>
      </c>
      <c r="G172" t="s">
        <v>1378</v>
      </c>
      <c r="H172" t="s">
        <v>1379</v>
      </c>
      <c r="I172" t="s">
        <v>1973</v>
      </c>
      <c r="J172">
        <v>1475</v>
      </c>
      <c r="K172">
        <v>0</v>
      </c>
      <c r="L172">
        <v>200</v>
      </c>
      <c r="M172">
        <v>400</v>
      </c>
      <c r="N172">
        <v>400</v>
      </c>
      <c r="O172">
        <v>200</v>
      </c>
      <c r="P172">
        <v>275</v>
      </c>
      <c r="Q172">
        <v>0</v>
      </c>
      <c r="R172" t="s">
        <v>129</v>
      </c>
      <c r="S172" t="s">
        <v>129</v>
      </c>
      <c r="T172" t="s">
        <v>129</v>
      </c>
      <c r="U172" t="s">
        <v>129</v>
      </c>
      <c r="V172" t="s">
        <v>129</v>
      </c>
      <c r="W172" t="s">
        <v>129</v>
      </c>
      <c r="X172" t="s">
        <v>129</v>
      </c>
      <c r="Y172" t="s">
        <v>2354</v>
      </c>
      <c r="Z172" t="s">
        <v>2355</v>
      </c>
      <c r="AA172" t="s">
        <v>129</v>
      </c>
      <c r="AB172" t="s">
        <v>129</v>
      </c>
      <c r="AC172" t="s">
        <v>129</v>
      </c>
      <c r="AD172" t="s">
        <v>2337</v>
      </c>
      <c r="AE172" t="s">
        <v>1967</v>
      </c>
      <c r="AG172" t="s">
        <v>2340</v>
      </c>
      <c r="AH172" t="s">
        <v>2341</v>
      </c>
      <c r="AI172" t="s">
        <v>1316</v>
      </c>
      <c r="AJ172" t="s">
        <v>2359</v>
      </c>
      <c r="AK172" t="s">
        <v>2370</v>
      </c>
      <c r="AL172" t="s">
        <v>2371</v>
      </c>
      <c r="AM172">
        <v>0</v>
      </c>
      <c r="AN172">
        <v>0</v>
      </c>
      <c r="AO172" t="s">
        <v>2372</v>
      </c>
      <c r="AP172" t="s">
        <v>2343</v>
      </c>
      <c r="AQ172" t="s">
        <v>2166</v>
      </c>
      <c r="AR172" t="s">
        <v>2012</v>
      </c>
      <c r="AS172">
        <v>0</v>
      </c>
      <c r="AU172" t="s">
        <v>2373</v>
      </c>
      <c r="AV172" t="s">
        <v>2374</v>
      </c>
      <c r="AW172" t="s">
        <v>2375</v>
      </c>
      <c r="AX172" t="s">
        <v>2376</v>
      </c>
    </row>
    <row r="173" spans="5:50" ht="18.75" customHeight="1">
      <c r="E173" t="s">
        <v>1316</v>
      </c>
      <c r="F173" t="s">
        <v>2346</v>
      </c>
      <c r="G173" t="s">
        <v>1390</v>
      </c>
      <c r="H173" t="s">
        <v>1391</v>
      </c>
      <c r="I173" t="s">
        <v>1928</v>
      </c>
      <c r="J173">
        <v>1500</v>
      </c>
      <c r="K173">
        <v>0</v>
      </c>
      <c r="L173">
        <v>500</v>
      </c>
      <c r="M173">
        <v>700</v>
      </c>
      <c r="N173">
        <v>300</v>
      </c>
      <c r="O173">
        <v>0</v>
      </c>
      <c r="P173">
        <v>0</v>
      </c>
      <c r="Q173">
        <v>0</v>
      </c>
      <c r="R173" t="s">
        <v>129</v>
      </c>
      <c r="S173" t="s">
        <v>129</v>
      </c>
      <c r="T173" t="s">
        <v>129</v>
      </c>
      <c r="U173" t="s">
        <v>129</v>
      </c>
      <c r="V173" t="s">
        <v>129</v>
      </c>
      <c r="W173" t="s">
        <v>129</v>
      </c>
      <c r="X173" t="s">
        <v>129</v>
      </c>
      <c r="Y173" t="s">
        <v>2356</v>
      </c>
      <c r="Z173" t="s">
        <v>2357</v>
      </c>
      <c r="AA173" t="s">
        <v>129</v>
      </c>
      <c r="AB173" t="s">
        <v>129</v>
      </c>
      <c r="AC173" t="s">
        <v>129</v>
      </c>
      <c r="AD173" t="s">
        <v>2358</v>
      </c>
      <c r="AE173" t="s">
        <v>1967</v>
      </c>
      <c r="AG173" t="s">
        <v>2340</v>
      </c>
      <c r="AH173" t="s">
        <v>2341</v>
      </c>
      <c r="AI173" t="s">
        <v>1316</v>
      </c>
      <c r="AJ173" t="s">
        <v>2359</v>
      </c>
      <c r="AK173" t="s">
        <v>2370</v>
      </c>
      <c r="AL173" t="s">
        <v>2371</v>
      </c>
      <c r="AM173">
        <v>0</v>
      </c>
      <c r="AN173">
        <v>0</v>
      </c>
      <c r="AO173" t="s">
        <v>2372</v>
      </c>
      <c r="AP173" t="s">
        <v>2343</v>
      </c>
      <c r="AQ173" t="s">
        <v>2166</v>
      </c>
      <c r="AR173" t="s">
        <v>2012</v>
      </c>
      <c r="AS173">
        <v>0</v>
      </c>
      <c r="AU173" t="s">
        <v>2373</v>
      </c>
      <c r="AV173" t="s">
        <v>2374</v>
      </c>
      <c r="AW173" t="s">
        <v>2375</v>
      </c>
      <c r="AX173" t="s">
        <v>2376</v>
      </c>
    </row>
    <row r="175" spans="5:50" ht="18.75" customHeight="1">
      <c r="AG175" t="s">
        <v>1944</v>
      </c>
    </row>
    <row r="176" spans="5:50" ht="18.75" customHeight="1">
      <c r="AG176" t="s">
        <v>1945</v>
      </c>
    </row>
    <row r="177" spans="5:50" ht="18.75" customHeight="1">
      <c r="E177" t="s">
        <v>1901</v>
      </c>
      <c r="AG177" t="s">
        <v>1946</v>
      </c>
      <c r="AH177" t="s">
        <v>1947</v>
      </c>
      <c r="AI177" t="s">
        <v>1948</v>
      </c>
      <c r="AJ177" t="s">
        <v>1949</v>
      </c>
      <c r="AK177" t="s">
        <v>1950</v>
      </c>
      <c r="AL177" t="s">
        <v>1951</v>
      </c>
      <c r="AM177" t="s">
        <v>1952</v>
      </c>
      <c r="AS177" t="s">
        <v>1953</v>
      </c>
      <c r="AU177" t="s">
        <v>1954</v>
      </c>
    </row>
    <row r="178" spans="5:50" ht="18.75" customHeight="1">
      <c r="E178" t="s">
        <v>1902</v>
      </c>
      <c r="F178" t="s">
        <v>1903</v>
      </c>
      <c r="G178" t="s">
        <v>1904</v>
      </c>
      <c r="H178" t="s">
        <v>1905</v>
      </c>
      <c r="I178" t="s">
        <v>1906</v>
      </c>
      <c r="J178" t="s">
        <v>1907</v>
      </c>
      <c r="K178" t="s">
        <v>1908</v>
      </c>
      <c r="R178" t="s">
        <v>1971</v>
      </c>
      <c r="S178" t="s">
        <v>1909</v>
      </c>
      <c r="T178" t="s">
        <v>1910</v>
      </c>
      <c r="Y178" t="s">
        <v>1911</v>
      </c>
      <c r="Z178" t="s">
        <v>1912</v>
      </c>
    </row>
    <row r="179" spans="5:50" ht="18.75" customHeight="1">
      <c r="K179">
        <v>2020</v>
      </c>
      <c r="L179">
        <v>2021</v>
      </c>
      <c r="M179">
        <v>2022</v>
      </c>
      <c r="N179">
        <v>2023</v>
      </c>
      <c r="O179">
        <v>2024</v>
      </c>
      <c r="P179">
        <v>2025</v>
      </c>
      <c r="Q179">
        <v>2026</v>
      </c>
      <c r="R179" t="s">
        <v>1913</v>
      </c>
      <c r="U179" t="s">
        <v>1914</v>
      </c>
      <c r="V179" t="s">
        <v>1915</v>
      </c>
      <c r="W179" t="s">
        <v>1916</v>
      </c>
      <c r="X179" t="s">
        <v>1917</v>
      </c>
      <c r="AA179" t="s">
        <v>1918</v>
      </c>
      <c r="AD179" t="s">
        <v>1919</v>
      </c>
      <c r="AM179" t="s">
        <v>1955</v>
      </c>
      <c r="AN179" t="s">
        <v>1956</v>
      </c>
      <c r="AO179" t="s">
        <v>1957</v>
      </c>
      <c r="AP179" t="s">
        <v>1958</v>
      </c>
      <c r="AQ179" t="s">
        <v>1959</v>
      </c>
      <c r="AR179" t="s">
        <v>1959</v>
      </c>
      <c r="AU179" t="s">
        <v>1960</v>
      </c>
      <c r="AV179" t="s">
        <v>1961</v>
      </c>
      <c r="AW179" t="s">
        <v>1962</v>
      </c>
      <c r="AX179" t="s">
        <v>1963</v>
      </c>
    </row>
    <row r="180" spans="5:50" ht="18.75" customHeight="1">
      <c r="J180" t="s">
        <v>2377</v>
      </c>
      <c r="K180" t="s">
        <v>2377</v>
      </c>
      <c r="L180" t="s">
        <v>2377</v>
      </c>
      <c r="M180" t="s">
        <v>2377</v>
      </c>
      <c r="N180" t="s">
        <v>2377</v>
      </c>
      <c r="O180" t="s">
        <v>2377</v>
      </c>
      <c r="P180" t="s">
        <v>2377</v>
      </c>
      <c r="Q180" t="s">
        <v>2377</v>
      </c>
      <c r="R180" t="s">
        <v>1920</v>
      </c>
      <c r="S180" t="s">
        <v>1972</v>
      </c>
      <c r="T180" t="s">
        <v>1921</v>
      </c>
      <c r="AA180" t="s">
        <v>1922</v>
      </c>
      <c r="AB180" t="s">
        <v>1923</v>
      </c>
      <c r="AC180" t="s">
        <v>1924</v>
      </c>
      <c r="AD180" t="s">
        <v>1925</v>
      </c>
      <c r="AE180" t="s">
        <v>1926</v>
      </c>
      <c r="AM180" t="s">
        <v>1964</v>
      </c>
      <c r="AN180" t="s">
        <v>1964</v>
      </c>
    </row>
    <row r="181" spans="5:50" ht="18.75" customHeight="1">
      <c r="G181" t="s">
        <v>2378</v>
      </c>
      <c r="I181" t="s">
        <v>1973</v>
      </c>
      <c r="J181">
        <v>652.53</v>
      </c>
      <c r="K181">
        <v>1</v>
      </c>
      <c r="L181">
        <v>147.33000000000001</v>
      </c>
      <c r="M181">
        <v>180.89999999999998</v>
      </c>
      <c r="N181">
        <v>192.6</v>
      </c>
      <c r="O181">
        <v>96.8</v>
      </c>
      <c r="P181">
        <v>33.9</v>
      </c>
      <c r="Q181">
        <v>0</v>
      </c>
      <c r="AD181" t="s">
        <v>2379</v>
      </c>
      <c r="AG181" t="s">
        <v>2340</v>
      </c>
      <c r="AH181" t="s">
        <v>2380</v>
      </c>
      <c r="AI181" t="s">
        <v>1403</v>
      </c>
      <c r="AJ181" t="s">
        <v>2381</v>
      </c>
      <c r="AK181" t="s">
        <v>2382</v>
      </c>
      <c r="AM181">
        <v>0.2</v>
      </c>
      <c r="AN181">
        <v>0.2</v>
      </c>
      <c r="AO181" t="s">
        <v>2383</v>
      </c>
      <c r="AQ181" t="s">
        <v>2052</v>
      </c>
      <c r="AR181" t="s">
        <v>2052</v>
      </c>
      <c r="AS181">
        <v>0.7</v>
      </c>
      <c r="AT181" t="s">
        <v>2384</v>
      </c>
      <c r="AU181" t="s">
        <v>2052</v>
      </c>
      <c r="AV181" t="s">
        <v>2052</v>
      </c>
      <c r="AW181" t="s">
        <v>2052</v>
      </c>
      <c r="AX181" t="s">
        <v>2052</v>
      </c>
    </row>
    <row r="184" spans="5:50" ht="18.75" customHeight="1">
      <c r="AG184" t="s">
        <v>1944</v>
      </c>
    </row>
    <row r="185" spans="5:50" ht="18.75" customHeight="1">
      <c r="AG185" t="s">
        <v>1945</v>
      </c>
    </row>
    <row r="186" spans="5:50" ht="18.75" customHeight="1">
      <c r="E186" t="s">
        <v>1901</v>
      </c>
      <c r="AG186" t="s">
        <v>1946</v>
      </c>
      <c r="AH186" t="s">
        <v>1947</v>
      </c>
      <c r="AI186" t="s">
        <v>1948</v>
      </c>
      <c r="AJ186" t="s">
        <v>1949</v>
      </c>
      <c r="AK186" t="s">
        <v>1950</v>
      </c>
      <c r="AL186" t="s">
        <v>1951</v>
      </c>
      <c r="AM186" t="s">
        <v>1952</v>
      </c>
      <c r="AS186" t="s">
        <v>1953</v>
      </c>
      <c r="AU186" t="s">
        <v>1954</v>
      </c>
    </row>
    <row r="187" spans="5:50" ht="18.75" customHeight="1">
      <c r="E187" t="s">
        <v>1902</v>
      </c>
      <c r="F187" t="s">
        <v>1903</v>
      </c>
      <c r="G187" t="s">
        <v>1904</v>
      </c>
      <c r="H187" t="s">
        <v>1905</v>
      </c>
      <c r="I187" t="s">
        <v>1906</v>
      </c>
      <c r="J187" t="s">
        <v>1907</v>
      </c>
      <c r="K187" t="s">
        <v>1908</v>
      </c>
      <c r="R187" t="s">
        <v>1971</v>
      </c>
      <c r="S187" t="s">
        <v>1909</v>
      </c>
      <c r="T187" t="s">
        <v>1910</v>
      </c>
      <c r="Y187" t="s">
        <v>1911</v>
      </c>
      <c r="Z187" t="s">
        <v>1912</v>
      </c>
    </row>
    <row r="188" spans="5:50" ht="18.75" customHeight="1">
      <c r="K188">
        <v>2020</v>
      </c>
      <c r="L188">
        <v>2021</v>
      </c>
      <c r="M188">
        <v>2022</v>
      </c>
      <c r="N188">
        <v>2023</v>
      </c>
      <c r="O188">
        <v>2024</v>
      </c>
      <c r="P188">
        <v>2025</v>
      </c>
      <c r="Q188">
        <v>2026</v>
      </c>
      <c r="R188" t="s">
        <v>1913</v>
      </c>
      <c r="U188" t="s">
        <v>1914</v>
      </c>
      <c r="V188" t="s">
        <v>1915</v>
      </c>
      <c r="W188" t="s">
        <v>1916</v>
      </c>
      <c r="X188" t="s">
        <v>1917</v>
      </c>
      <c r="AA188" t="s">
        <v>1918</v>
      </c>
      <c r="AD188" t="s">
        <v>1919</v>
      </c>
      <c r="AM188" t="s">
        <v>1955</v>
      </c>
      <c r="AN188" t="s">
        <v>1956</v>
      </c>
      <c r="AO188" t="s">
        <v>1957</v>
      </c>
      <c r="AP188" t="s">
        <v>1958</v>
      </c>
      <c r="AQ188" t="s">
        <v>1959</v>
      </c>
      <c r="AR188" t="s">
        <v>1959</v>
      </c>
      <c r="AU188" t="s">
        <v>1960</v>
      </c>
      <c r="AV188" t="s">
        <v>1961</v>
      </c>
      <c r="AW188" t="s">
        <v>1962</v>
      </c>
      <c r="AX188" t="s">
        <v>1963</v>
      </c>
    </row>
    <row r="189" spans="5:50" ht="18.75" customHeight="1">
      <c r="R189" t="s">
        <v>1920</v>
      </c>
      <c r="S189" t="s">
        <v>1972</v>
      </c>
      <c r="T189" t="s">
        <v>1921</v>
      </c>
      <c r="AA189" t="s">
        <v>1922</v>
      </c>
      <c r="AB189" t="s">
        <v>1923</v>
      </c>
      <c r="AC189" t="s">
        <v>1924</v>
      </c>
      <c r="AD189" t="s">
        <v>1925</v>
      </c>
      <c r="AE189" t="s">
        <v>1926</v>
      </c>
      <c r="AM189" t="s">
        <v>1964</v>
      </c>
      <c r="AN189" t="s">
        <v>1964</v>
      </c>
    </row>
    <row r="190" spans="5:50" ht="18.75" customHeight="1">
      <c r="E190" t="s">
        <v>2385</v>
      </c>
      <c r="G190" t="s">
        <v>1454</v>
      </c>
      <c r="J190">
        <v>4701</v>
      </c>
      <c r="K190">
        <v>0</v>
      </c>
      <c r="L190">
        <v>0</v>
      </c>
      <c r="M190">
        <v>0</v>
      </c>
      <c r="N190">
        <v>490</v>
      </c>
      <c r="O190">
        <v>1223.5</v>
      </c>
      <c r="P190">
        <v>2987.5</v>
      </c>
      <c r="Q190">
        <v>0</v>
      </c>
      <c r="Y190" t="s">
        <v>2386</v>
      </c>
      <c r="AA190" t="s">
        <v>2387</v>
      </c>
      <c r="AB190" t="s">
        <v>1967</v>
      </c>
      <c r="AC190" t="s">
        <v>1967</v>
      </c>
      <c r="AD190" t="s">
        <v>2388</v>
      </c>
      <c r="AE190" t="s">
        <v>2389</v>
      </c>
      <c r="AG190" t="s">
        <v>2340</v>
      </c>
      <c r="AH190" t="s">
        <v>2380</v>
      </c>
      <c r="AI190" t="s">
        <v>1403</v>
      </c>
      <c r="AJ190" t="s">
        <v>2381</v>
      </c>
      <c r="AK190" t="s">
        <v>1454</v>
      </c>
      <c r="AM190">
        <v>0</v>
      </c>
      <c r="AN190">
        <v>0</v>
      </c>
      <c r="AO190">
        <v>106</v>
      </c>
      <c r="AP190">
        <v>106</v>
      </c>
      <c r="AQ190" t="s">
        <v>2390</v>
      </c>
      <c r="AR190" t="s">
        <v>2390</v>
      </c>
      <c r="AS190">
        <v>0</v>
      </c>
      <c r="AU190" t="s">
        <v>2390</v>
      </c>
      <c r="AV190" t="s">
        <v>2390</v>
      </c>
      <c r="AW190" t="s">
        <v>2390</v>
      </c>
      <c r="AX190" t="s">
        <v>2390</v>
      </c>
    </row>
    <row r="191" spans="5:50" ht="18.75" customHeight="1">
      <c r="AA191" t="s">
        <v>56</v>
      </c>
      <c r="AB191" t="s">
        <v>56</v>
      </c>
      <c r="AC191" t="s">
        <v>56</v>
      </c>
      <c r="AD191" t="s">
        <v>56</v>
      </c>
      <c r="AE191" t="s">
        <v>56</v>
      </c>
    </row>
    <row r="192" spans="5:50" ht="18.75" customHeight="1">
      <c r="AA192" t="s">
        <v>56</v>
      </c>
      <c r="AB192" t="s">
        <v>56</v>
      </c>
      <c r="AC192" t="s">
        <v>56</v>
      </c>
      <c r="AD192" t="s">
        <v>56</v>
      </c>
      <c r="AE192" t="s">
        <v>56</v>
      </c>
      <c r="AG192" t="s">
        <v>1944</v>
      </c>
    </row>
    <row r="193" spans="5:50" ht="18.75" customHeight="1">
      <c r="AA193" t="s">
        <v>56</v>
      </c>
      <c r="AB193" t="s">
        <v>56</v>
      </c>
      <c r="AC193" t="s">
        <v>56</v>
      </c>
      <c r="AD193" t="s">
        <v>56</v>
      </c>
      <c r="AE193" t="s">
        <v>56</v>
      </c>
      <c r="AG193" t="s">
        <v>1945</v>
      </c>
    </row>
    <row r="194" spans="5:50" ht="18.75" customHeight="1">
      <c r="E194" t="s">
        <v>1901</v>
      </c>
      <c r="AG194" t="s">
        <v>1946</v>
      </c>
      <c r="AH194" t="s">
        <v>1947</v>
      </c>
      <c r="AI194" t="s">
        <v>1948</v>
      </c>
      <c r="AJ194" t="s">
        <v>1949</v>
      </c>
      <c r="AK194" t="s">
        <v>1950</v>
      </c>
      <c r="AL194" t="s">
        <v>1951</v>
      </c>
      <c r="AM194" t="s">
        <v>1952</v>
      </c>
      <c r="AS194" t="s">
        <v>1953</v>
      </c>
      <c r="AU194" t="s">
        <v>1954</v>
      </c>
    </row>
    <row r="195" spans="5:50" ht="18.75" customHeight="1">
      <c r="E195" t="s">
        <v>1902</v>
      </c>
      <c r="F195" t="s">
        <v>1903</v>
      </c>
      <c r="G195" t="s">
        <v>1904</v>
      </c>
      <c r="H195" t="s">
        <v>1905</v>
      </c>
      <c r="I195" t="s">
        <v>1906</v>
      </c>
      <c r="J195" t="s">
        <v>1907</v>
      </c>
      <c r="K195" t="s">
        <v>1908</v>
      </c>
      <c r="R195" t="s">
        <v>1971</v>
      </c>
      <c r="S195" t="s">
        <v>1909</v>
      </c>
      <c r="T195" t="s">
        <v>1910</v>
      </c>
      <c r="Y195" t="s">
        <v>1911</v>
      </c>
      <c r="Z195" t="s">
        <v>1912</v>
      </c>
    </row>
    <row r="196" spans="5:50" ht="18.75" customHeight="1">
      <c r="K196">
        <v>2020</v>
      </c>
      <c r="L196">
        <v>2021</v>
      </c>
      <c r="M196">
        <v>2022</v>
      </c>
      <c r="N196">
        <v>2023</v>
      </c>
      <c r="O196">
        <v>2024</v>
      </c>
      <c r="P196">
        <v>2025</v>
      </c>
      <c r="Q196">
        <v>2026</v>
      </c>
      <c r="R196" t="s">
        <v>1913</v>
      </c>
      <c r="U196" t="s">
        <v>1914</v>
      </c>
      <c r="V196" t="s">
        <v>1915</v>
      </c>
      <c r="W196" t="s">
        <v>1916</v>
      </c>
      <c r="X196" t="s">
        <v>1917</v>
      </c>
      <c r="AA196" t="s">
        <v>1918</v>
      </c>
      <c r="AD196" t="s">
        <v>1919</v>
      </c>
      <c r="AM196" t="s">
        <v>1955</v>
      </c>
      <c r="AN196" t="s">
        <v>1956</v>
      </c>
      <c r="AO196" t="s">
        <v>1957</v>
      </c>
      <c r="AP196" t="s">
        <v>1958</v>
      </c>
      <c r="AQ196" t="s">
        <v>1959</v>
      </c>
      <c r="AR196" t="s">
        <v>1959</v>
      </c>
      <c r="AU196" t="s">
        <v>1960</v>
      </c>
      <c r="AV196" t="s">
        <v>1961</v>
      </c>
      <c r="AW196" t="s">
        <v>1962</v>
      </c>
      <c r="AX196" t="s">
        <v>1963</v>
      </c>
    </row>
    <row r="197" spans="5:50" ht="18.75" customHeight="1">
      <c r="R197" t="s">
        <v>1920</v>
      </c>
      <c r="S197" t="s">
        <v>1972</v>
      </c>
      <c r="T197" t="s">
        <v>1921</v>
      </c>
      <c r="AA197" t="s">
        <v>1922</v>
      </c>
      <c r="AB197" t="s">
        <v>1923</v>
      </c>
      <c r="AC197" t="s">
        <v>1924</v>
      </c>
      <c r="AD197" t="s">
        <v>1925</v>
      </c>
      <c r="AE197" t="s">
        <v>1926</v>
      </c>
      <c r="AM197" t="s">
        <v>1964</v>
      </c>
      <c r="AN197" t="s">
        <v>1964</v>
      </c>
    </row>
    <row r="198" spans="5:50" ht="18.75" customHeight="1">
      <c r="E198" t="s">
        <v>2385</v>
      </c>
      <c r="F198" t="s">
        <v>1403</v>
      </c>
      <c r="G198" t="s">
        <v>2391</v>
      </c>
      <c r="H198" t="s">
        <v>2392</v>
      </c>
      <c r="I198" t="s">
        <v>2144</v>
      </c>
      <c r="J198" t="s">
        <v>2393</v>
      </c>
      <c r="K198">
        <v>0</v>
      </c>
      <c r="L198">
        <v>0</v>
      </c>
      <c r="M198">
        <v>400</v>
      </c>
      <c r="N198">
        <v>1000</v>
      </c>
      <c r="O198">
        <v>2328</v>
      </c>
      <c r="P198">
        <v>3272</v>
      </c>
      <c r="Q198">
        <v>0</v>
      </c>
      <c r="R198" t="s">
        <v>2394</v>
      </c>
      <c r="S198" t="s">
        <v>2395</v>
      </c>
      <c r="T198" t="s">
        <v>2396</v>
      </c>
      <c r="W198" t="s">
        <v>2397</v>
      </c>
      <c r="X198" t="s">
        <v>2398</v>
      </c>
      <c r="Y198" t="s">
        <v>2399</v>
      </c>
      <c r="Z198" t="s">
        <v>2400</v>
      </c>
      <c r="AA198" t="s">
        <v>2401</v>
      </c>
      <c r="AB198" t="s">
        <v>2402</v>
      </c>
      <c r="AC198" t="s">
        <v>2403</v>
      </c>
      <c r="AD198" t="s">
        <v>2404</v>
      </c>
      <c r="AE198" t="s">
        <v>2405</v>
      </c>
      <c r="AG198" t="s">
        <v>2340</v>
      </c>
      <c r="AH198" t="s">
        <v>2380</v>
      </c>
      <c r="AI198" t="s">
        <v>1403</v>
      </c>
      <c r="AJ198" t="s">
        <v>2381</v>
      </c>
      <c r="AK198" t="s">
        <v>2406</v>
      </c>
      <c r="AL198" t="s">
        <v>2407</v>
      </c>
      <c r="AM198">
        <v>0</v>
      </c>
      <c r="AN198">
        <v>0</v>
      </c>
      <c r="AO198">
        <v>108</v>
      </c>
      <c r="AP198">
        <v>108</v>
      </c>
      <c r="AQ198" t="s">
        <v>2390</v>
      </c>
      <c r="AR198" t="s">
        <v>2390</v>
      </c>
      <c r="AS198">
        <v>1</v>
      </c>
      <c r="AT198" t="s">
        <v>2408</v>
      </c>
      <c r="AU198" t="s">
        <v>2390</v>
      </c>
      <c r="AV198" t="s">
        <v>2390</v>
      </c>
      <c r="AW198" t="s">
        <v>2052</v>
      </c>
      <c r="AX198" t="s">
        <v>2052</v>
      </c>
    </row>
    <row r="199" spans="5:50" ht="18.75" customHeight="1">
      <c r="AA199" t="s">
        <v>56</v>
      </c>
      <c r="AB199" t="s">
        <v>56</v>
      </c>
      <c r="AC199" t="s">
        <v>56</v>
      </c>
      <c r="AD199" t="s">
        <v>56</v>
      </c>
      <c r="AE199" t="s">
        <v>56</v>
      </c>
      <c r="AI199" t="s">
        <v>1403</v>
      </c>
      <c r="AJ199" t="s">
        <v>2381</v>
      </c>
      <c r="AK199" t="s">
        <v>2406</v>
      </c>
      <c r="AL199" t="s">
        <v>2407</v>
      </c>
      <c r="AM199">
        <v>0</v>
      </c>
      <c r="AN199">
        <v>0</v>
      </c>
      <c r="AO199">
        <v>109</v>
      </c>
      <c r="AP199">
        <v>109</v>
      </c>
      <c r="AQ199" t="s">
        <v>2390</v>
      </c>
      <c r="AR199" t="s">
        <v>2390</v>
      </c>
      <c r="AS199">
        <v>0.4</v>
      </c>
      <c r="AT199" t="s">
        <v>2409</v>
      </c>
      <c r="AU199" t="s">
        <v>2390</v>
      </c>
      <c r="AV199" t="s">
        <v>2390</v>
      </c>
      <c r="AW199" t="s">
        <v>2052</v>
      </c>
      <c r="AX199" t="s">
        <v>2052</v>
      </c>
    </row>
    <row r="200" spans="5:50" ht="18.75" customHeight="1">
      <c r="AA200" t="s">
        <v>56</v>
      </c>
      <c r="AB200" t="s">
        <v>56</v>
      </c>
      <c r="AC200" t="s">
        <v>56</v>
      </c>
      <c r="AD200" t="s">
        <v>56</v>
      </c>
      <c r="AE200" t="s">
        <v>56</v>
      </c>
    </row>
    <row r="201" spans="5:50" ht="18.75" customHeight="1">
      <c r="AA201" t="s">
        <v>56</v>
      </c>
      <c r="AB201" t="s">
        <v>56</v>
      </c>
      <c r="AC201" t="s">
        <v>56</v>
      </c>
      <c r="AD201" t="s">
        <v>56</v>
      </c>
      <c r="AE201" t="s">
        <v>56</v>
      </c>
      <c r="AG201" t="s">
        <v>1944</v>
      </c>
    </row>
    <row r="202" spans="5:50" ht="18.75" customHeight="1">
      <c r="AG202" t="s">
        <v>1945</v>
      </c>
    </row>
    <row r="203" spans="5:50" ht="18.75" customHeight="1">
      <c r="E203" t="s">
        <v>1901</v>
      </c>
      <c r="AG203" t="s">
        <v>1946</v>
      </c>
      <c r="AH203" t="s">
        <v>1947</v>
      </c>
      <c r="AI203" t="s">
        <v>1948</v>
      </c>
      <c r="AJ203" t="s">
        <v>1949</v>
      </c>
      <c r="AK203" t="s">
        <v>1950</v>
      </c>
      <c r="AL203" t="s">
        <v>1951</v>
      </c>
      <c r="AM203" t="s">
        <v>1952</v>
      </c>
      <c r="AS203" t="s">
        <v>1953</v>
      </c>
      <c r="AU203" t="s">
        <v>1954</v>
      </c>
    </row>
    <row r="204" spans="5:50" ht="18.75" customHeight="1">
      <c r="E204" t="s">
        <v>1902</v>
      </c>
      <c r="F204" t="s">
        <v>1903</v>
      </c>
      <c r="G204" t="s">
        <v>1904</v>
      </c>
      <c r="H204" t="s">
        <v>1905</v>
      </c>
      <c r="I204" t="s">
        <v>1906</v>
      </c>
      <c r="J204" t="s">
        <v>1907</v>
      </c>
      <c r="K204" t="s">
        <v>1908</v>
      </c>
      <c r="R204" t="s">
        <v>1971</v>
      </c>
      <c r="S204" t="s">
        <v>1909</v>
      </c>
      <c r="T204" t="s">
        <v>1910</v>
      </c>
      <c r="Y204" t="s">
        <v>1911</v>
      </c>
      <c r="Z204" t="s">
        <v>1912</v>
      </c>
    </row>
    <row r="205" spans="5:50" ht="18.75" customHeight="1">
      <c r="K205">
        <v>2020</v>
      </c>
      <c r="L205">
        <v>2021</v>
      </c>
      <c r="M205">
        <v>2022</v>
      </c>
      <c r="N205">
        <v>2023</v>
      </c>
      <c r="O205">
        <v>2024</v>
      </c>
      <c r="P205">
        <v>2025</v>
      </c>
      <c r="Q205">
        <v>2026</v>
      </c>
      <c r="R205" t="s">
        <v>1913</v>
      </c>
      <c r="U205" t="s">
        <v>1914</v>
      </c>
      <c r="V205" t="s">
        <v>1915</v>
      </c>
      <c r="W205" t="s">
        <v>1916</v>
      </c>
      <c r="X205" t="s">
        <v>1917</v>
      </c>
      <c r="AA205" t="s">
        <v>1918</v>
      </c>
      <c r="AD205" t="s">
        <v>1919</v>
      </c>
      <c r="AM205" t="s">
        <v>1955</v>
      </c>
      <c r="AN205" t="s">
        <v>1956</v>
      </c>
      <c r="AO205" t="s">
        <v>1957</v>
      </c>
      <c r="AP205" t="s">
        <v>1958</v>
      </c>
      <c r="AQ205" t="s">
        <v>1959</v>
      </c>
      <c r="AR205" t="s">
        <v>1959</v>
      </c>
      <c r="AU205" t="s">
        <v>1960</v>
      </c>
      <c r="AV205" t="s">
        <v>1961</v>
      </c>
      <c r="AW205" t="s">
        <v>1962</v>
      </c>
      <c r="AX205" t="s">
        <v>1963</v>
      </c>
    </row>
    <row r="206" spans="5:50" ht="18.75" customHeight="1">
      <c r="R206" t="s">
        <v>1920</v>
      </c>
      <c r="S206" t="s">
        <v>1972</v>
      </c>
      <c r="T206" t="s">
        <v>1921</v>
      </c>
      <c r="AA206" t="s">
        <v>1922</v>
      </c>
      <c r="AB206" t="s">
        <v>1923</v>
      </c>
      <c r="AC206" t="s">
        <v>1924</v>
      </c>
      <c r="AD206" t="s">
        <v>1925</v>
      </c>
      <c r="AE206" t="s">
        <v>1926</v>
      </c>
      <c r="AM206" t="s">
        <v>1964</v>
      </c>
      <c r="AN206" t="s">
        <v>1964</v>
      </c>
    </row>
    <row r="207" spans="5:50" ht="18.75" customHeight="1">
      <c r="E207" t="s">
        <v>2413</v>
      </c>
      <c r="F207" t="s">
        <v>2414</v>
      </c>
      <c r="G207" t="s">
        <v>1535</v>
      </c>
      <c r="H207" t="s">
        <v>1900</v>
      </c>
      <c r="I207" t="s">
        <v>2102</v>
      </c>
      <c r="J207">
        <v>2378.482</v>
      </c>
      <c r="K207">
        <v>0</v>
      </c>
      <c r="L207">
        <v>504.33799999999997</v>
      </c>
      <c r="M207">
        <v>863.36200000000008</v>
      </c>
      <c r="N207">
        <v>1010.782</v>
      </c>
      <c r="O207">
        <v>0</v>
      </c>
      <c r="P207">
        <v>0</v>
      </c>
      <c r="Q207">
        <v>0</v>
      </c>
      <c r="R207" t="s">
        <v>28</v>
      </c>
      <c r="S207" t="s">
        <v>2288</v>
      </c>
      <c r="T207" t="s">
        <v>2289</v>
      </c>
      <c r="U207" t="s">
        <v>2288</v>
      </c>
      <c r="V207" t="s">
        <v>2289</v>
      </c>
      <c r="W207" t="s">
        <v>2288</v>
      </c>
      <c r="X207" t="s">
        <v>2289</v>
      </c>
      <c r="Y207" t="s">
        <v>2410</v>
      </c>
      <c r="Z207" t="s">
        <v>2292</v>
      </c>
      <c r="AA207" t="s">
        <v>2294</v>
      </c>
      <c r="AB207" t="s">
        <v>2294</v>
      </c>
      <c r="AC207" t="s">
        <v>2294</v>
      </c>
      <c r="AD207" t="s">
        <v>2411</v>
      </c>
      <c r="AE207">
        <v>0</v>
      </c>
      <c r="AG207" t="s">
        <v>2323</v>
      </c>
      <c r="AH207" t="s">
        <v>2324</v>
      </c>
      <c r="AI207" t="s">
        <v>2413</v>
      </c>
      <c r="AJ207" t="s">
        <v>2414</v>
      </c>
      <c r="AK207" t="s">
        <v>1535</v>
      </c>
      <c r="AL207" t="s">
        <v>1900</v>
      </c>
      <c r="AM207">
        <v>1</v>
      </c>
      <c r="AN207">
        <v>0.4</v>
      </c>
      <c r="AP207">
        <v>46</v>
      </c>
      <c r="AQ207" t="s">
        <v>1039</v>
      </c>
      <c r="AR207" t="s">
        <v>1040</v>
      </c>
      <c r="AS207">
        <v>0.45</v>
      </c>
    </row>
    <row r="208" spans="5:50" ht="18.75" customHeight="1">
      <c r="E208" t="s">
        <v>2413</v>
      </c>
      <c r="F208" t="s">
        <v>2414</v>
      </c>
      <c r="G208" t="s">
        <v>1898</v>
      </c>
      <c r="H208" t="s">
        <v>1899</v>
      </c>
      <c r="I208" t="s">
        <v>1973</v>
      </c>
      <c r="J208">
        <v>112</v>
      </c>
      <c r="K208">
        <v>0</v>
      </c>
      <c r="L208">
        <v>81</v>
      </c>
      <c r="M208">
        <v>15</v>
      </c>
      <c r="N208">
        <v>16</v>
      </c>
      <c r="O208">
        <v>0</v>
      </c>
      <c r="P208">
        <v>0</v>
      </c>
      <c r="Q208">
        <v>0</v>
      </c>
      <c r="R208" t="s">
        <v>28</v>
      </c>
      <c r="S208" t="s">
        <v>2288</v>
      </c>
      <c r="T208" t="s">
        <v>2289</v>
      </c>
      <c r="U208" t="s">
        <v>2288</v>
      </c>
      <c r="V208" t="s">
        <v>2289</v>
      </c>
      <c r="W208" t="s">
        <v>2288</v>
      </c>
      <c r="X208" t="s">
        <v>2289</v>
      </c>
      <c r="Y208" t="s">
        <v>2412</v>
      </c>
      <c r="Z208" t="s">
        <v>2292</v>
      </c>
      <c r="AA208" t="s">
        <v>2294</v>
      </c>
      <c r="AB208" t="s">
        <v>2294</v>
      </c>
      <c r="AC208" t="s">
        <v>2294</v>
      </c>
      <c r="AD208" t="s">
        <v>2411</v>
      </c>
      <c r="AE208">
        <v>0</v>
      </c>
      <c r="AG208" t="s">
        <v>2323</v>
      </c>
      <c r="AH208" t="s">
        <v>2324</v>
      </c>
      <c r="AI208" t="s">
        <v>2413</v>
      </c>
      <c r="AJ208" t="s">
        <v>2414</v>
      </c>
      <c r="AK208" t="s">
        <v>1898</v>
      </c>
      <c r="AL208" t="s">
        <v>1899</v>
      </c>
      <c r="AM208">
        <v>0.94</v>
      </c>
      <c r="AN208">
        <v>0.73</v>
      </c>
      <c r="AP208">
        <v>46</v>
      </c>
      <c r="AQ208" t="s">
        <v>1039</v>
      </c>
      <c r="AR208" t="s">
        <v>1040</v>
      </c>
      <c r="AS208">
        <v>1</v>
      </c>
      <c r="AU208" t="s">
        <v>28</v>
      </c>
    </row>
    <row r="209" spans="5:50" ht="18.75" customHeight="1">
      <c r="I209" t="s">
        <v>2315</v>
      </c>
      <c r="AK209" t="s">
        <v>2415</v>
      </c>
    </row>
    <row r="211" spans="5:50" ht="18.75" customHeight="1">
      <c r="AG211" t="s">
        <v>1944</v>
      </c>
    </row>
    <row r="212" spans="5:50" ht="18.75" customHeight="1">
      <c r="AG212" t="s">
        <v>1945</v>
      </c>
    </row>
    <row r="213" spans="5:50" ht="18.75" customHeight="1">
      <c r="E213" t="s">
        <v>1901</v>
      </c>
      <c r="AG213" t="s">
        <v>1946</v>
      </c>
      <c r="AH213" t="s">
        <v>1947</v>
      </c>
      <c r="AI213" t="s">
        <v>1948</v>
      </c>
      <c r="AJ213" t="s">
        <v>1949</v>
      </c>
      <c r="AK213" t="s">
        <v>1950</v>
      </c>
      <c r="AL213" t="s">
        <v>1951</v>
      </c>
      <c r="AM213" t="s">
        <v>1952</v>
      </c>
      <c r="AS213" t="s">
        <v>1953</v>
      </c>
      <c r="AU213" t="s">
        <v>1954</v>
      </c>
    </row>
    <row r="214" spans="5:50" ht="18.75" customHeight="1">
      <c r="E214" t="s">
        <v>1902</v>
      </c>
      <c r="F214" t="s">
        <v>1903</v>
      </c>
      <c r="G214" t="s">
        <v>1904</v>
      </c>
      <c r="H214" t="s">
        <v>1905</v>
      </c>
      <c r="I214" t="s">
        <v>1906</v>
      </c>
      <c r="J214" t="s">
        <v>2416</v>
      </c>
      <c r="K214" t="s">
        <v>2417</v>
      </c>
      <c r="R214" t="s">
        <v>1971</v>
      </c>
      <c r="S214" t="s">
        <v>1909</v>
      </c>
      <c r="T214" t="s">
        <v>1910</v>
      </c>
      <c r="Y214" t="s">
        <v>1911</v>
      </c>
      <c r="Z214" t="s">
        <v>1912</v>
      </c>
    </row>
    <row r="215" spans="5:50" ht="18.75" customHeight="1">
      <c r="K215">
        <v>2020</v>
      </c>
      <c r="L215">
        <v>2021</v>
      </c>
      <c r="M215">
        <v>2022</v>
      </c>
      <c r="N215">
        <v>2023</v>
      </c>
      <c r="O215">
        <v>2024</v>
      </c>
      <c r="P215">
        <v>2025</v>
      </c>
      <c r="Q215">
        <v>2026</v>
      </c>
      <c r="R215" t="s">
        <v>1913</v>
      </c>
      <c r="U215" t="s">
        <v>1914</v>
      </c>
      <c r="V215" t="s">
        <v>1915</v>
      </c>
      <c r="W215" t="s">
        <v>1916</v>
      </c>
      <c r="X215" t="s">
        <v>1917</v>
      </c>
      <c r="AA215" t="s">
        <v>1918</v>
      </c>
      <c r="AD215" t="s">
        <v>1919</v>
      </c>
      <c r="AM215" t="s">
        <v>1955</v>
      </c>
      <c r="AN215" t="s">
        <v>1956</v>
      </c>
      <c r="AO215" t="s">
        <v>1957</v>
      </c>
      <c r="AP215" t="s">
        <v>1958</v>
      </c>
      <c r="AQ215" t="s">
        <v>1959</v>
      </c>
      <c r="AR215" t="s">
        <v>1959</v>
      </c>
      <c r="AU215" t="s">
        <v>1960</v>
      </c>
      <c r="AV215" t="s">
        <v>1961</v>
      </c>
      <c r="AW215" t="s">
        <v>1962</v>
      </c>
      <c r="AX215" t="s">
        <v>1963</v>
      </c>
    </row>
    <row r="216" spans="5:50" ht="18.75" customHeight="1">
      <c r="R216" t="s">
        <v>1920</v>
      </c>
      <c r="S216" t="s">
        <v>1972</v>
      </c>
      <c r="T216" t="s">
        <v>1921</v>
      </c>
      <c r="AA216" t="s">
        <v>1922</v>
      </c>
      <c r="AB216" t="s">
        <v>1923</v>
      </c>
      <c r="AC216" t="s">
        <v>1924</v>
      </c>
      <c r="AD216" t="s">
        <v>1925</v>
      </c>
      <c r="AE216" t="s">
        <v>1926</v>
      </c>
      <c r="AM216" t="s">
        <v>1964</v>
      </c>
      <c r="AN216" t="s">
        <v>1964</v>
      </c>
    </row>
    <row r="217" spans="5:50" ht="18.75" customHeight="1">
      <c r="E217" t="s">
        <v>1885</v>
      </c>
      <c r="F217">
        <v>0</v>
      </c>
      <c r="G217" t="s">
        <v>1560</v>
      </c>
      <c r="H217">
        <v>0</v>
      </c>
      <c r="I217" t="s">
        <v>2008</v>
      </c>
      <c r="J217">
        <v>4000</v>
      </c>
      <c r="K217">
        <v>0</v>
      </c>
      <c r="L217">
        <v>0</v>
      </c>
      <c r="M217">
        <v>1500</v>
      </c>
      <c r="N217">
        <v>1500</v>
      </c>
      <c r="O217">
        <v>500</v>
      </c>
      <c r="P217">
        <v>500</v>
      </c>
      <c r="Q217">
        <v>0</v>
      </c>
      <c r="AA217" t="s">
        <v>2418</v>
      </c>
      <c r="AB217" t="s">
        <v>2419</v>
      </c>
      <c r="AC217" t="s">
        <v>2420</v>
      </c>
      <c r="AD217" t="s">
        <v>2421</v>
      </c>
      <c r="AE217" t="s">
        <v>2422</v>
      </c>
      <c r="AG217" t="s">
        <v>2423</v>
      </c>
      <c r="AI217" t="s">
        <v>1885</v>
      </c>
      <c r="AK217" t="s">
        <v>1560</v>
      </c>
    </row>
    <row r="218" spans="5:50" ht="18.75" customHeight="1">
      <c r="AA218" t="s">
        <v>56</v>
      </c>
      <c r="AB218" t="s">
        <v>56</v>
      </c>
      <c r="AC218" t="s">
        <v>56</v>
      </c>
      <c r="AD218" t="s">
        <v>56</v>
      </c>
    </row>
    <row r="219" spans="5:50" ht="18.75" customHeight="1">
      <c r="Z219" t="s">
        <v>56</v>
      </c>
      <c r="AA219" t="s">
        <v>56</v>
      </c>
      <c r="AB219" t="s">
        <v>56</v>
      </c>
      <c r="AC219" t="s">
        <v>56</v>
      </c>
      <c r="AD219" t="s">
        <v>56</v>
      </c>
      <c r="AG219" t="s">
        <v>1944</v>
      </c>
    </row>
    <row r="220" spans="5:50" ht="18.75" customHeight="1">
      <c r="Z220" t="s">
        <v>56</v>
      </c>
      <c r="AA220" t="s">
        <v>56</v>
      </c>
      <c r="AB220" t="s">
        <v>56</v>
      </c>
      <c r="AC220" t="s">
        <v>56</v>
      </c>
      <c r="AD220" t="s">
        <v>56</v>
      </c>
      <c r="AG220" t="s">
        <v>1945</v>
      </c>
    </row>
    <row r="221" spans="5:50" ht="18.75" customHeight="1">
      <c r="E221" t="s">
        <v>1901</v>
      </c>
      <c r="AG221" t="s">
        <v>1946</v>
      </c>
      <c r="AH221" t="s">
        <v>1947</v>
      </c>
      <c r="AI221" t="s">
        <v>1948</v>
      </c>
      <c r="AJ221" t="s">
        <v>1949</v>
      </c>
      <c r="AK221" t="s">
        <v>1950</v>
      </c>
      <c r="AL221" t="s">
        <v>1951</v>
      </c>
      <c r="AM221" t="s">
        <v>1952</v>
      </c>
      <c r="AS221" t="s">
        <v>1953</v>
      </c>
      <c r="AU221" t="s">
        <v>1954</v>
      </c>
    </row>
    <row r="222" spans="5:50" ht="18.75" customHeight="1">
      <c r="E222" t="s">
        <v>1902</v>
      </c>
      <c r="F222" t="s">
        <v>1903</v>
      </c>
      <c r="G222" t="s">
        <v>1904</v>
      </c>
      <c r="H222" t="s">
        <v>1905</v>
      </c>
      <c r="I222" t="s">
        <v>1906</v>
      </c>
      <c r="J222" t="s">
        <v>1907</v>
      </c>
      <c r="K222" t="s">
        <v>1908</v>
      </c>
      <c r="R222" t="s">
        <v>1971</v>
      </c>
      <c r="S222" t="s">
        <v>1909</v>
      </c>
      <c r="T222" t="s">
        <v>1910</v>
      </c>
      <c r="Y222" t="s">
        <v>1911</v>
      </c>
      <c r="Z222" t="s">
        <v>1912</v>
      </c>
    </row>
    <row r="223" spans="5:50" ht="18.75" customHeight="1">
      <c r="K223">
        <v>2020</v>
      </c>
      <c r="L223">
        <v>2021</v>
      </c>
      <c r="M223">
        <v>2022</v>
      </c>
      <c r="N223">
        <v>2023</v>
      </c>
      <c r="O223">
        <v>2024</v>
      </c>
      <c r="P223">
        <v>2025</v>
      </c>
      <c r="Q223">
        <v>2026</v>
      </c>
      <c r="R223" t="s">
        <v>1913</v>
      </c>
      <c r="U223" t="s">
        <v>1914</v>
      </c>
      <c r="V223" t="s">
        <v>1915</v>
      </c>
      <c r="W223" t="s">
        <v>1916</v>
      </c>
      <c r="X223" t="s">
        <v>1917</v>
      </c>
      <c r="AA223" t="s">
        <v>1918</v>
      </c>
      <c r="AD223" t="s">
        <v>1919</v>
      </c>
      <c r="AM223" t="s">
        <v>1955</v>
      </c>
      <c r="AN223" t="s">
        <v>1956</v>
      </c>
      <c r="AO223" t="s">
        <v>1957</v>
      </c>
      <c r="AP223" t="s">
        <v>1958</v>
      </c>
      <c r="AQ223" t="s">
        <v>1959</v>
      </c>
      <c r="AR223" t="s">
        <v>1959</v>
      </c>
      <c r="AU223" t="s">
        <v>1960</v>
      </c>
      <c r="AV223" t="s">
        <v>1961</v>
      </c>
      <c r="AW223" t="s">
        <v>1962</v>
      </c>
      <c r="AX223" t="s">
        <v>1963</v>
      </c>
    </row>
    <row r="224" spans="5:50" ht="18.75" customHeight="1">
      <c r="R224" t="s">
        <v>2424</v>
      </c>
      <c r="S224" t="s">
        <v>1972</v>
      </c>
      <c r="T224" t="s">
        <v>1921</v>
      </c>
      <c r="AA224" t="s">
        <v>1922</v>
      </c>
      <c r="AB224" t="s">
        <v>1923</v>
      </c>
      <c r="AC224" t="s">
        <v>1924</v>
      </c>
      <c r="AD224" t="s">
        <v>1925</v>
      </c>
      <c r="AE224" t="s">
        <v>1926</v>
      </c>
      <c r="AM224" t="s">
        <v>1964</v>
      </c>
      <c r="AN224" t="s">
        <v>1964</v>
      </c>
    </row>
    <row r="225" spans="5:50" ht="18.75" customHeight="1">
      <c r="E225" t="s">
        <v>2425</v>
      </c>
      <c r="F225" t="s">
        <v>2426</v>
      </c>
      <c r="G225" t="s">
        <v>1587</v>
      </c>
      <c r="H225" t="s">
        <v>1588</v>
      </c>
      <c r="I225" t="s">
        <v>1973</v>
      </c>
      <c r="J225">
        <v>0</v>
      </c>
      <c r="K225">
        <v>0</v>
      </c>
      <c r="L225">
        <v>0</v>
      </c>
      <c r="M225">
        <v>0</v>
      </c>
      <c r="N225">
        <v>0</v>
      </c>
      <c r="O225">
        <v>0</v>
      </c>
      <c r="P225">
        <v>0</v>
      </c>
      <c r="Q225">
        <v>0</v>
      </c>
      <c r="R225" t="s">
        <v>28</v>
      </c>
      <c r="S225" t="s">
        <v>28</v>
      </c>
      <c r="T225" t="s">
        <v>28</v>
      </c>
      <c r="U225" t="s">
        <v>2427</v>
      </c>
      <c r="V225" t="s">
        <v>2428</v>
      </c>
      <c r="W225" t="s">
        <v>2429</v>
      </c>
      <c r="X225" t="s">
        <v>2430</v>
      </c>
      <c r="Y225" t="s">
        <v>2431</v>
      </c>
      <c r="Z225" t="s">
        <v>2431</v>
      </c>
      <c r="AA225" t="s">
        <v>2094</v>
      </c>
      <c r="AB225" t="s">
        <v>2094</v>
      </c>
      <c r="AC225" t="s">
        <v>2094</v>
      </c>
      <c r="AG225" t="s">
        <v>2438</v>
      </c>
      <c r="AH225" t="s">
        <v>2439</v>
      </c>
      <c r="AI225" t="s">
        <v>2425</v>
      </c>
      <c r="AJ225" t="s">
        <v>2426</v>
      </c>
      <c r="AK225" t="s">
        <v>1587</v>
      </c>
      <c r="AL225" t="s">
        <v>1588</v>
      </c>
      <c r="AM225">
        <v>0</v>
      </c>
      <c r="AN225">
        <v>0</v>
      </c>
      <c r="AO225">
        <v>135</v>
      </c>
      <c r="AP225">
        <v>135</v>
      </c>
      <c r="AQ225" t="s">
        <v>1039</v>
      </c>
      <c r="AR225" t="s">
        <v>1040</v>
      </c>
      <c r="AS225">
        <v>0</v>
      </c>
      <c r="AU225" t="s">
        <v>1168</v>
      </c>
      <c r="AV225" t="s">
        <v>1168</v>
      </c>
      <c r="AW225" t="s">
        <v>1168</v>
      </c>
      <c r="AX225" t="s">
        <v>1168</v>
      </c>
    </row>
    <row r="226" spans="5:50" ht="18.75" customHeight="1">
      <c r="E226" t="s">
        <v>2425</v>
      </c>
      <c r="F226" t="s">
        <v>2426</v>
      </c>
      <c r="G226" t="s">
        <v>1658</v>
      </c>
      <c r="H226" t="s">
        <v>1659</v>
      </c>
      <c r="I226" t="s">
        <v>1973</v>
      </c>
      <c r="J226">
        <v>0</v>
      </c>
      <c r="K226">
        <v>0</v>
      </c>
      <c r="L226">
        <v>0</v>
      </c>
      <c r="M226">
        <v>0</v>
      </c>
      <c r="N226">
        <v>0</v>
      </c>
      <c r="O226">
        <v>0</v>
      </c>
      <c r="P226">
        <v>0</v>
      </c>
      <c r="Q226">
        <v>0</v>
      </c>
      <c r="R226" t="s">
        <v>28</v>
      </c>
      <c r="S226" t="s">
        <v>28</v>
      </c>
      <c r="T226" t="s">
        <v>28</v>
      </c>
      <c r="U226" t="s">
        <v>2432</v>
      </c>
      <c r="V226" t="s">
        <v>2433</v>
      </c>
      <c r="W226" t="s">
        <v>28</v>
      </c>
      <c r="X226" t="s">
        <v>28</v>
      </c>
      <c r="Y226" t="s">
        <v>2434</v>
      </c>
      <c r="Z226" t="s">
        <v>2434</v>
      </c>
      <c r="AA226" t="s">
        <v>2094</v>
      </c>
      <c r="AB226" t="s">
        <v>2094</v>
      </c>
      <c r="AC226" t="s">
        <v>2094</v>
      </c>
      <c r="AG226" t="s">
        <v>2438</v>
      </c>
      <c r="AH226" t="s">
        <v>2439</v>
      </c>
      <c r="AI226" t="s">
        <v>2425</v>
      </c>
      <c r="AJ226" t="s">
        <v>2426</v>
      </c>
      <c r="AK226" t="s">
        <v>1658</v>
      </c>
      <c r="AL226" t="s">
        <v>1659</v>
      </c>
      <c r="AM226">
        <v>0</v>
      </c>
      <c r="AN226">
        <v>0</v>
      </c>
      <c r="AO226">
        <v>135</v>
      </c>
      <c r="AP226">
        <v>135</v>
      </c>
      <c r="AQ226" t="s">
        <v>1039</v>
      </c>
      <c r="AR226" t="s">
        <v>1040</v>
      </c>
      <c r="AS226">
        <v>0</v>
      </c>
      <c r="AU226" t="s">
        <v>1168</v>
      </c>
      <c r="AV226" t="s">
        <v>1168</v>
      </c>
      <c r="AW226" t="s">
        <v>1168</v>
      </c>
      <c r="AX226" t="s">
        <v>1168</v>
      </c>
    </row>
    <row r="227" spans="5:50" ht="18.75" customHeight="1">
      <c r="E227" t="s">
        <v>2425</v>
      </c>
      <c r="F227" t="s">
        <v>2426</v>
      </c>
      <c r="G227" t="s">
        <v>1691</v>
      </c>
      <c r="H227" t="s">
        <v>1692</v>
      </c>
      <c r="I227" t="s">
        <v>2102</v>
      </c>
      <c r="J227">
        <v>0</v>
      </c>
      <c r="K227">
        <v>0</v>
      </c>
      <c r="L227">
        <v>0</v>
      </c>
      <c r="M227">
        <v>0</v>
      </c>
      <c r="N227">
        <v>0</v>
      </c>
      <c r="O227">
        <v>0</v>
      </c>
      <c r="P227">
        <v>0</v>
      </c>
      <c r="Q227">
        <v>0</v>
      </c>
      <c r="R227" t="s">
        <v>28</v>
      </c>
      <c r="S227" t="s">
        <v>28</v>
      </c>
      <c r="T227" t="s">
        <v>28</v>
      </c>
      <c r="U227" t="s">
        <v>2435</v>
      </c>
      <c r="V227" t="s">
        <v>2436</v>
      </c>
      <c r="W227" t="s">
        <v>28</v>
      </c>
      <c r="X227" t="s">
        <v>28</v>
      </c>
      <c r="Y227" t="s">
        <v>2437</v>
      </c>
      <c r="Z227" t="s">
        <v>2437</v>
      </c>
      <c r="AA227" t="s">
        <v>2094</v>
      </c>
      <c r="AB227" t="s">
        <v>2094</v>
      </c>
      <c r="AC227" t="s">
        <v>2094</v>
      </c>
      <c r="AG227" t="s">
        <v>2438</v>
      </c>
      <c r="AH227" t="s">
        <v>2439</v>
      </c>
      <c r="AI227" t="s">
        <v>2425</v>
      </c>
      <c r="AJ227" t="s">
        <v>2426</v>
      </c>
      <c r="AK227" t="s">
        <v>1691</v>
      </c>
      <c r="AL227" t="s">
        <v>1692</v>
      </c>
      <c r="AM227">
        <v>0</v>
      </c>
      <c r="AN227">
        <v>0</v>
      </c>
      <c r="AO227">
        <v>135</v>
      </c>
      <c r="AP227">
        <v>135</v>
      </c>
      <c r="AQ227" t="s">
        <v>1039</v>
      </c>
      <c r="AR227" t="s">
        <v>1040</v>
      </c>
      <c r="AS227">
        <v>0</v>
      </c>
      <c r="AU227" t="s">
        <v>1168</v>
      </c>
      <c r="AV227" t="s">
        <v>1168</v>
      </c>
      <c r="AW227" t="s">
        <v>1168</v>
      </c>
      <c r="AX227" t="s">
        <v>1168</v>
      </c>
    </row>
    <row r="229" spans="5:50" ht="18.75" customHeight="1">
      <c r="AG229" t="s">
        <v>1944</v>
      </c>
    </row>
    <row r="230" spans="5:50" ht="18.75" customHeight="1">
      <c r="AG230" t="s">
        <v>1945</v>
      </c>
    </row>
    <row r="231" spans="5:50" ht="18.75" customHeight="1">
      <c r="E231" t="s">
        <v>1901</v>
      </c>
      <c r="AG231" t="s">
        <v>1946</v>
      </c>
      <c r="AH231" t="s">
        <v>1947</v>
      </c>
      <c r="AI231" t="s">
        <v>1948</v>
      </c>
      <c r="AJ231" t="s">
        <v>1949</v>
      </c>
      <c r="AK231" t="s">
        <v>1950</v>
      </c>
      <c r="AL231" t="s">
        <v>1951</v>
      </c>
      <c r="AM231" t="s">
        <v>1952</v>
      </c>
      <c r="AS231" t="s">
        <v>1953</v>
      </c>
      <c r="AU231" t="s">
        <v>1954</v>
      </c>
    </row>
    <row r="232" spans="5:50" ht="18.75" customHeight="1">
      <c r="E232" t="s">
        <v>1902</v>
      </c>
      <c r="F232" t="s">
        <v>1903</v>
      </c>
      <c r="G232" t="s">
        <v>1904</v>
      </c>
      <c r="H232" t="s">
        <v>1905</v>
      </c>
      <c r="I232" t="s">
        <v>1906</v>
      </c>
      <c r="J232" t="s">
        <v>1907</v>
      </c>
      <c r="K232" t="s">
        <v>1908</v>
      </c>
      <c r="R232" t="s">
        <v>1971</v>
      </c>
      <c r="S232" t="s">
        <v>1909</v>
      </c>
      <c r="T232" t="s">
        <v>1910</v>
      </c>
      <c r="Y232" t="s">
        <v>1911</v>
      </c>
      <c r="Z232" t="s">
        <v>1912</v>
      </c>
    </row>
    <row r="233" spans="5:50" ht="18.75" customHeight="1">
      <c r="K233">
        <v>2020</v>
      </c>
      <c r="L233">
        <v>2021</v>
      </c>
      <c r="M233">
        <v>2022</v>
      </c>
      <c r="N233">
        <v>2023</v>
      </c>
      <c r="O233">
        <v>2024</v>
      </c>
      <c r="P233">
        <v>2025</v>
      </c>
      <c r="Q233">
        <v>2026</v>
      </c>
      <c r="R233" t="s">
        <v>1913</v>
      </c>
      <c r="U233" t="s">
        <v>1914</v>
      </c>
      <c r="V233" t="s">
        <v>1915</v>
      </c>
      <c r="W233" t="s">
        <v>1916</v>
      </c>
      <c r="X233" t="s">
        <v>1917</v>
      </c>
      <c r="AA233" t="s">
        <v>1918</v>
      </c>
      <c r="AD233" t="s">
        <v>1919</v>
      </c>
      <c r="AM233" t="s">
        <v>1955</v>
      </c>
      <c r="AN233" t="s">
        <v>1956</v>
      </c>
      <c r="AO233" t="s">
        <v>1957</v>
      </c>
      <c r="AP233" t="s">
        <v>1958</v>
      </c>
      <c r="AQ233" t="s">
        <v>1959</v>
      </c>
      <c r="AR233" t="s">
        <v>1959</v>
      </c>
      <c r="AU233" t="s">
        <v>1960</v>
      </c>
      <c r="AV233" t="s">
        <v>1961</v>
      </c>
      <c r="AW233" t="s">
        <v>1962</v>
      </c>
      <c r="AX233" t="s">
        <v>1963</v>
      </c>
    </row>
    <row r="234" spans="5:50" ht="18.75" customHeight="1">
      <c r="R234" t="s">
        <v>1920</v>
      </c>
      <c r="S234" t="s">
        <v>1972</v>
      </c>
      <c r="T234" t="s">
        <v>1921</v>
      </c>
      <c r="AA234" t="s">
        <v>1922</v>
      </c>
      <c r="AB234" t="s">
        <v>1923</v>
      </c>
      <c r="AC234" t="s">
        <v>1924</v>
      </c>
      <c r="AD234" t="s">
        <v>1925</v>
      </c>
      <c r="AE234" t="s">
        <v>1926</v>
      </c>
      <c r="AM234" t="s">
        <v>1964</v>
      </c>
      <c r="AN234" t="s">
        <v>1964</v>
      </c>
    </row>
    <row r="235" spans="5:50" ht="18.75" customHeight="1">
      <c r="E235" t="s">
        <v>1718</v>
      </c>
      <c r="F235" t="s">
        <v>2440</v>
      </c>
      <c r="G235" t="s">
        <v>1719</v>
      </c>
      <c r="H235" t="s">
        <v>1720</v>
      </c>
      <c r="I235" t="s">
        <v>2144</v>
      </c>
      <c r="J235">
        <v>5000</v>
      </c>
      <c r="K235">
        <v>0</v>
      </c>
      <c r="L235">
        <v>0</v>
      </c>
      <c r="M235">
        <v>1000</v>
      </c>
      <c r="N235">
        <v>1250</v>
      </c>
      <c r="O235">
        <v>1100</v>
      </c>
      <c r="P235">
        <v>900</v>
      </c>
      <c r="Q235">
        <v>750</v>
      </c>
      <c r="R235" t="s">
        <v>129</v>
      </c>
      <c r="S235" t="s">
        <v>129</v>
      </c>
      <c r="T235" t="s">
        <v>129</v>
      </c>
      <c r="U235" t="s">
        <v>129</v>
      </c>
      <c r="V235" t="s">
        <v>129</v>
      </c>
      <c r="W235" t="s">
        <v>129</v>
      </c>
      <c r="X235" t="s">
        <v>129</v>
      </c>
      <c r="Y235" t="s">
        <v>2441</v>
      </c>
      <c r="Z235" t="s">
        <v>2442</v>
      </c>
      <c r="AA235" t="s">
        <v>1934</v>
      </c>
      <c r="AB235" t="s">
        <v>2443</v>
      </c>
      <c r="AC235" t="s">
        <v>1934</v>
      </c>
      <c r="AD235" t="s">
        <v>2444</v>
      </c>
      <c r="AE235" t="s">
        <v>2445</v>
      </c>
      <c r="AG235" t="s">
        <v>2446</v>
      </c>
      <c r="AH235" t="s">
        <v>2447</v>
      </c>
      <c r="AI235" t="s">
        <v>1718</v>
      </c>
      <c r="AJ235" t="s">
        <v>2440</v>
      </c>
      <c r="AK235" t="s">
        <v>1719</v>
      </c>
      <c r="AL235" t="s">
        <v>1720</v>
      </c>
      <c r="AM235">
        <v>0</v>
      </c>
      <c r="AN235">
        <v>0</v>
      </c>
      <c r="AO235" t="s">
        <v>2450</v>
      </c>
      <c r="AP235" t="s">
        <v>2451</v>
      </c>
      <c r="AQ235" t="s">
        <v>2166</v>
      </c>
      <c r="AR235" t="s">
        <v>2012</v>
      </c>
      <c r="AS235">
        <v>0</v>
      </c>
      <c r="AU235">
        <v>0</v>
      </c>
      <c r="AV235">
        <v>0</v>
      </c>
      <c r="AW235" t="s">
        <v>2448</v>
      </c>
      <c r="AX235" t="s">
        <v>2449</v>
      </c>
    </row>
    <row r="237" spans="5:50" ht="18.75" customHeight="1">
      <c r="AG237" t="s">
        <v>1944</v>
      </c>
    </row>
    <row r="238" spans="5:50" ht="18.75" customHeight="1">
      <c r="AG238" t="s">
        <v>1945</v>
      </c>
    </row>
    <row r="239" spans="5:50" ht="18.75" customHeight="1">
      <c r="E239" t="s">
        <v>1901</v>
      </c>
      <c r="AG239" t="s">
        <v>1946</v>
      </c>
      <c r="AH239" t="s">
        <v>1947</v>
      </c>
      <c r="AI239" t="s">
        <v>1948</v>
      </c>
      <c r="AJ239" t="s">
        <v>1949</v>
      </c>
      <c r="AK239" t="s">
        <v>1950</v>
      </c>
      <c r="AL239" t="s">
        <v>1951</v>
      </c>
      <c r="AM239" t="s">
        <v>1952</v>
      </c>
      <c r="AS239" t="s">
        <v>1953</v>
      </c>
      <c r="AV239" t="s">
        <v>1954</v>
      </c>
    </row>
    <row r="240" spans="5:50" ht="18.75" customHeight="1">
      <c r="E240" t="s">
        <v>1902</v>
      </c>
      <c r="F240" t="s">
        <v>1903</v>
      </c>
      <c r="G240" t="s">
        <v>1904</v>
      </c>
      <c r="H240" t="s">
        <v>1905</v>
      </c>
      <c r="I240" t="s">
        <v>1906</v>
      </c>
      <c r="J240" t="s">
        <v>1907</v>
      </c>
      <c r="K240" t="s">
        <v>1908</v>
      </c>
      <c r="R240" t="s">
        <v>1971</v>
      </c>
      <c r="S240" t="s">
        <v>1909</v>
      </c>
      <c r="T240" t="s">
        <v>1910</v>
      </c>
      <c r="Y240" t="s">
        <v>1911</v>
      </c>
      <c r="Z240" t="s">
        <v>1912</v>
      </c>
    </row>
    <row r="241" spans="5:50" ht="18.75" customHeight="1">
      <c r="K241">
        <v>2020</v>
      </c>
      <c r="L241">
        <v>2021</v>
      </c>
      <c r="M241">
        <v>2022</v>
      </c>
      <c r="N241">
        <v>2023</v>
      </c>
      <c r="O241">
        <v>2024</v>
      </c>
      <c r="P241">
        <v>2025</v>
      </c>
      <c r="Q241">
        <v>2026</v>
      </c>
      <c r="R241" t="s">
        <v>1913</v>
      </c>
      <c r="U241" t="s">
        <v>1914</v>
      </c>
      <c r="V241" t="s">
        <v>1915</v>
      </c>
      <c r="W241" t="s">
        <v>1916</v>
      </c>
      <c r="X241" t="s">
        <v>1917</v>
      </c>
      <c r="AA241" t="s">
        <v>2452</v>
      </c>
      <c r="AD241" t="s">
        <v>1919</v>
      </c>
      <c r="AM241" t="s">
        <v>1955</v>
      </c>
      <c r="AN241" t="s">
        <v>1956</v>
      </c>
      <c r="AO241" t="s">
        <v>1957</v>
      </c>
      <c r="AP241" t="s">
        <v>1958</v>
      </c>
      <c r="AQ241" t="s">
        <v>1959</v>
      </c>
      <c r="AR241" t="s">
        <v>1959</v>
      </c>
      <c r="AV241" t="s">
        <v>1960</v>
      </c>
      <c r="AW241" t="s">
        <v>1961</v>
      </c>
      <c r="AX241" t="s">
        <v>1962</v>
      </c>
    </row>
    <row r="242" spans="5:50" ht="18.75" customHeight="1">
      <c r="R242" t="s">
        <v>1920</v>
      </c>
      <c r="S242" t="s">
        <v>1972</v>
      </c>
      <c r="T242" t="s">
        <v>1921</v>
      </c>
      <c r="AA242" t="s">
        <v>1922</v>
      </c>
      <c r="AB242" t="s">
        <v>1923</v>
      </c>
      <c r="AC242" t="s">
        <v>1924</v>
      </c>
      <c r="AD242" t="s">
        <v>1925</v>
      </c>
      <c r="AE242" t="s">
        <v>1926</v>
      </c>
      <c r="AM242" t="s">
        <v>1964</v>
      </c>
      <c r="AN242" t="s">
        <v>1964</v>
      </c>
    </row>
    <row r="243" spans="5:50" ht="18.75" customHeight="1">
      <c r="E243" t="s">
        <v>1799</v>
      </c>
      <c r="G243" t="s">
        <v>1816</v>
      </c>
      <c r="I243" t="s">
        <v>2102</v>
      </c>
      <c r="J243">
        <v>4650</v>
      </c>
      <c r="K243">
        <v>0</v>
      </c>
      <c r="L243">
        <v>600</v>
      </c>
      <c r="M243">
        <v>1020</v>
      </c>
      <c r="N243">
        <v>1360</v>
      </c>
      <c r="O243">
        <v>980</v>
      </c>
      <c r="P243">
        <v>520</v>
      </c>
      <c r="Q243">
        <v>170</v>
      </c>
      <c r="R243">
        <v>0</v>
      </c>
      <c r="S243" t="s">
        <v>28</v>
      </c>
      <c r="T243" t="s">
        <v>28</v>
      </c>
      <c r="U243">
        <v>3350</v>
      </c>
      <c r="W243" t="s">
        <v>28</v>
      </c>
      <c r="Y243" t="s">
        <v>2453</v>
      </c>
      <c r="AA243" t="s">
        <v>1934</v>
      </c>
      <c r="AB243" t="s">
        <v>2454</v>
      </c>
      <c r="AC243" t="s">
        <v>1934</v>
      </c>
      <c r="AD243" t="s">
        <v>2455</v>
      </c>
      <c r="AE243">
        <v>0.5</v>
      </c>
      <c r="AG243" t="s">
        <v>2446</v>
      </c>
      <c r="AI243" t="s">
        <v>1799</v>
      </c>
      <c r="AK243" t="s">
        <v>1816</v>
      </c>
      <c r="AM243">
        <v>0</v>
      </c>
      <c r="AN243">
        <v>0</v>
      </c>
      <c r="AO243" t="s">
        <v>2465</v>
      </c>
      <c r="AQ243" t="s">
        <v>1998</v>
      </c>
      <c r="AS243">
        <v>0.4</v>
      </c>
      <c r="AT243" t="s">
        <v>2466</v>
      </c>
      <c r="AV243" t="s">
        <v>2094</v>
      </c>
      <c r="AX243" t="s">
        <v>2467</v>
      </c>
    </row>
    <row r="244" spans="5:50" ht="18.75" customHeight="1">
      <c r="E244" t="s">
        <v>1799</v>
      </c>
      <c r="G244" t="s">
        <v>1847</v>
      </c>
      <c r="I244" t="s">
        <v>2102</v>
      </c>
      <c r="J244">
        <v>1000</v>
      </c>
      <c r="K244">
        <v>0</v>
      </c>
      <c r="L244">
        <v>80</v>
      </c>
      <c r="M244">
        <v>270</v>
      </c>
      <c r="N244">
        <v>310</v>
      </c>
      <c r="O244">
        <v>220</v>
      </c>
      <c r="P244">
        <v>100</v>
      </c>
      <c r="Q244">
        <v>20</v>
      </c>
      <c r="R244">
        <v>0</v>
      </c>
      <c r="S244" t="s">
        <v>28</v>
      </c>
      <c r="T244" t="s">
        <v>28</v>
      </c>
      <c r="U244">
        <v>800</v>
      </c>
      <c r="W244" t="s">
        <v>28</v>
      </c>
      <c r="Y244" t="s">
        <v>2453</v>
      </c>
      <c r="AA244" t="s">
        <v>1934</v>
      </c>
      <c r="AB244" t="s">
        <v>2456</v>
      </c>
      <c r="AC244" t="s">
        <v>1934</v>
      </c>
      <c r="AD244" t="s">
        <v>2455</v>
      </c>
      <c r="AE244">
        <v>1</v>
      </c>
      <c r="AG244" t="s">
        <v>2446</v>
      </c>
      <c r="AI244" t="s">
        <v>1799</v>
      </c>
      <c r="AK244" t="s">
        <v>1847</v>
      </c>
      <c r="AM244">
        <v>0</v>
      </c>
      <c r="AN244">
        <v>0</v>
      </c>
      <c r="AO244" t="s">
        <v>2073</v>
      </c>
      <c r="AQ244" t="s">
        <v>1998</v>
      </c>
      <c r="AS244">
        <v>0.4</v>
      </c>
      <c r="AT244" t="s">
        <v>2468</v>
      </c>
      <c r="AV244" t="s">
        <v>2094</v>
      </c>
      <c r="AX244" t="s">
        <v>2469</v>
      </c>
    </row>
    <row r="245" spans="5:50" ht="18.75" customHeight="1">
      <c r="E245" t="s">
        <v>1799</v>
      </c>
      <c r="G245" t="s">
        <v>1852</v>
      </c>
      <c r="I245" t="s">
        <v>2144</v>
      </c>
      <c r="J245">
        <v>1500</v>
      </c>
      <c r="K245">
        <v>0</v>
      </c>
      <c r="L245">
        <v>0</v>
      </c>
      <c r="M245">
        <v>320</v>
      </c>
      <c r="N245">
        <v>320</v>
      </c>
      <c r="O245">
        <v>320</v>
      </c>
      <c r="P245">
        <v>320</v>
      </c>
      <c r="Q245">
        <v>220</v>
      </c>
      <c r="R245">
        <v>0</v>
      </c>
      <c r="S245" t="s">
        <v>28</v>
      </c>
      <c r="T245" t="s">
        <v>28</v>
      </c>
      <c r="U245">
        <v>3750</v>
      </c>
      <c r="W245" t="s">
        <v>28</v>
      </c>
      <c r="Y245" t="s">
        <v>2453</v>
      </c>
      <c r="AA245" t="s">
        <v>1934</v>
      </c>
      <c r="AB245" t="s">
        <v>2457</v>
      </c>
      <c r="AC245" t="s">
        <v>1934</v>
      </c>
      <c r="AD245" t="s">
        <v>2458</v>
      </c>
      <c r="AE245">
        <v>0.25</v>
      </c>
      <c r="AG245" t="s">
        <v>2446</v>
      </c>
      <c r="AI245" t="s">
        <v>1799</v>
      </c>
      <c r="AK245" t="s">
        <v>1852</v>
      </c>
      <c r="AM245">
        <v>0</v>
      </c>
      <c r="AN245">
        <v>0</v>
      </c>
      <c r="AO245" t="s">
        <v>2076</v>
      </c>
      <c r="AQ245" t="s">
        <v>1998</v>
      </c>
      <c r="AS245">
        <v>0.4</v>
      </c>
      <c r="AT245" t="s">
        <v>2470</v>
      </c>
      <c r="AV245" t="s">
        <v>2094</v>
      </c>
      <c r="AX245" t="s">
        <v>2471</v>
      </c>
    </row>
    <row r="246" spans="5:50" ht="18.75" customHeight="1">
      <c r="E246" t="s">
        <v>1799</v>
      </c>
      <c r="G246" t="s">
        <v>1855</v>
      </c>
      <c r="I246" t="s">
        <v>2090</v>
      </c>
      <c r="J246">
        <v>200</v>
      </c>
      <c r="K246">
        <v>0</v>
      </c>
      <c r="L246">
        <v>0</v>
      </c>
      <c r="M246">
        <v>58</v>
      </c>
      <c r="N246">
        <v>68</v>
      </c>
      <c r="O246">
        <v>64</v>
      </c>
      <c r="P246">
        <v>10</v>
      </c>
      <c r="Q246">
        <v>0</v>
      </c>
      <c r="R246">
        <v>0</v>
      </c>
      <c r="S246" t="s">
        <v>28</v>
      </c>
      <c r="T246" t="s">
        <v>28</v>
      </c>
      <c r="U246">
        <v>422</v>
      </c>
      <c r="W246" t="s">
        <v>28</v>
      </c>
      <c r="Y246" t="s">
        <v>2453</v>
      </c>
      <c r="AA246" t="s">
        <v>1934</v>
      </c>
      <c r="AB246" t="s">
        <v>2459</v>
      </c>
      <c r="AC246" t="s">
        <v>1934</v>
      </c>
      <c r="AD246" t="s">
        <v>2460</v>
      </c>
      <c r="AE246">
        <v>0.3</v>
      </c>
      <c r="AG246" t="s">
        <v>2446</v>
      </c>
      <c r="AI246" t="s">
        <v>1799</v>
      </c>
      <c r="AK246" t="s">
        <v>1855</v>
      </c>
      <c r="AM246">
        <v>1</v>
      </c>
      <c r="AN246">
        <v>0.4</v>
      </c>
      <c r="AO246" t="s">
        <v>2472</v>
      </c>
      <c r="AQ246" t="s">
        <v>1998</v>
      </c>
      <c r="AS246">
        <v>0</v>
      </c>
      <c r="AV246" t="s">
        <v>2473</v>
      </c>
      <c r="AW246" t="s">
        <v>2094</v>
      </c>
      <c r="AX246" t="s">
        <v>2094</v>
      </c>
    </row>
    <row r="247" spans="5:50" ht="18.75" customHeight="1">
      <c r="E247" t="s">
        <v>1799</v>
      </c>
      <c r="G247" t="s">
        <v>1856</v>
      </c>
      <c r="I247" t="s">
        <v>2090</v>
      </c>
      <c r="J247">
        <v>350</v>
      </c>
      <c r="K247">
        <v>0</v>
      </c>
      <c r="L247">
        <v>0</v>
      </c>
      <c r="M247">
        <v>105</v>
      </c>
      <c r="N247">
        <v>115</v>
      </c>
      <c r="O247">
        <v>95</v>
      </c>
      <c r="P247">
        <v>35</v>
      </c>
      <c r="Q247">
        <v>0</v>
      </c>
      <c r="R247">
        <v>0</v>
      </c>
      <c r="S247" t="s">
        <v>28</v>
      </c>
      <c r="T247" t="s">
        <v>28</v>
      </c>
      <c r="U247">
        <v>1050</v>
      </c>
      <c r="W247" t="s">
        <v>28</v>
      </c>
      <c r="Y247" t="s">
        <v>2453</v>
      </c>
      <c r="AA247" t="s">
        <v>1934</v>
      </c>
      <c r="AB247" t="s">
        <v>2461</v>
      </c>
      <c r="AC247" t="s">
        <v>1934</v>
      </c>
      <c r="AD247" t="s">
        <v>2460</v>
      </c>
      <c r="AE247">
        <v>0.3</v>
      </c>
      <c r="AG247" t="s">
        <v>2446</v>
      </c>
      <c r="AI247" t="s">
        <v>1799</v>
      </c>
      <c r="AK247" t="s">
        <v>1856</v>
      </c>
      <c r="AM247">
        <v>0</v>
      </c>
      <c r="AN247">
        <v>0</v>
      </c>
      <c r="AO247" t="s">
        <v>2076</v>
      </c>
      <c r="AQ247" t="s">
        <v>1998</v>
      </c>
      <c r="AS247">
        <v>0.4</v>
      </c>
      <c r="AV247" t="s">
        <v>2094</v>
      </c>
      <c r="AX247" t="s">
        <v>2474</v>
      </c>
    </row>
    <row r="248" spans="5:50" ht="18.75" customHeight="1">
      <c r="E248" t="s">
        <v>1799</v>
      </c>
      <c r="G248" t="s">
        <v>1858</v>
      </c>
      <c r="I248" t="s">
        <v>2102</v>
      </c>
      <c r="J248">
        <v>500</v>
      </c>
      <c r="K248">
        <v>0</v>
      </c>
      <c r="L248">
        <v>30</v>
      </c>
      <c r="M248">
        <v>100</v>
      </c>
      <c r="N248">
        <v>130</v>
      </c>
      <c r="O248">
        <v>100</v>
      </c>
      <c r="P248">
        <v>80</v>
      </c>
      <c r="Q248">
        <v>60</v>
      </c>
      <c r="R248">
        <v>20</v>
      </c>
      <c r="S248" t="s">
        <v>2462</v>
      </c>
      <c r="T248" t="s">
        <v>28</v>
      </c>
      <c r="U248">
        <v>100</v>
      </c>
      <c r="W248" t="s">
        <v>2463</v>
      </c>
      <c r="Y248" t="s">
        <v>2453</v>
      </c>
      <c r="AA248" t="s">
        <v>1934</v>
      </c>
      <c r="AB248" t="s">
        <v>2464</v>
      </c>
      <c r="AC248" t="s">
        <v>1934</v>
      </c>
      <c r="AD248" t="s">
        <v>2460</v>
      </c>
      <c r="AE248">
        <v>0.3</v>
      </c>
      <c r="AG248" t="s">
        <v>2446</v>
      </c>
      <c r="AI248" t="s">
        <v>1799</v>
      </c>
      <c r="AK248" t="s">
        <v>1858</v>
      </c>
      <c r="AM248">
        <v>0</v>
      </c>
      <c r="AN248">
        <v>0</v>
      </c>
      <c r="AO248" t="s">
        <v>2076</v>
      </c>
      <c r="AQ248" t="s">
        <v>1998</v>
      </c>
      <c r="AS248">
        <v>0.4</v>
      </c>
      <c r="AV248" t="s">
        <v>2094</v>
      </c>
      <c r="AX248" t="s">
        <v>2475</v>
      </c>
    </row>
    <row r="250" spans="5:50" ht="18.75" customHeight="1">
      <c r="AG250" t="s">
        <v>1944</v>
      </c>
    </row>
    <row r="251" spans="5:50" ht="18.75" customHeight="1">
      <c r="AG251" t="s">
        <v>1945</v>
      </c>
    </row>
    <row r="252" spans="5:50" ht="18.75" customHeight="1">
      <c r="E252" t="s">
        <v>1901</v>
      </c>
      <c r="AG252" t="s">
        <v>1946</v>
      </c>
      <c r="AH252" t="s">
        <v>1947</v>
      </c>
      <c r="AI252" t="s">
        <v>1948</v>
      </c>
      <c r="AJ252" t="s">
        <v>1949</v>
      </c>
      <c r="AK252" t="s">
        <v>1950</v>
      </c>
      <c r="AL252" t="s">
        <v>1951</v>
      </c>
      <c r="AM252" t="s">
        <v>1952</v>
      </c>
      <c r="AS252" t="s">
        <v>1953</v>
      </c>
      <c r="AU252" t="s">
        <v>1954</v>
      </c>
    </row>
    <row r="253" spans="5:50" ht="18.75" customHeight="1">
      <c r="E253" t="s">
        <v>1902</v>
      </c>
      <c r="F253" t="s">
        <v>1903</v>
      </c>
      <c r="G253" t="s">
        <v>1904</v>
      </c>
      <c r="H253" t="s">
        <v>1905</v>
      </c>
      <c r="I253" t="s">
        <v>1906</v>
      </c>
      <c r="J253" t="s">
        <v>1907</v>
      </c>
      <c r="K253" t="s">
        <v>1908</v>
      </c>
      <c r="R253" t="s">
        <v>1971</v>
      </c>
      <c r="S253" t="s">
        <v>1909</v>
      </c>
      <c r="T253" t="s">
        <v>1910</v>
      </c>
      <c r="Y253" t="s">
        <v>1911</v>
      </c>
      <c r="Z253" t="s">
        <v>1912</v>
      </c>
    </row>
    <row r="254" spans="5:50" ht="18.75" customHeight="1">
      <c r="K254">
        <v>2020</v>
      </c>
      <c r="L254">
        <v>2021</v>
      </c>
      <c r="M254">
        <v>2022</v>
      </c>
      <c r="N254">
        <v>2023</v>
      </c>
      <c r="O254">
        <v>2024</v>
      </c>
      <c r="P254">
        <v>2025</v>
      </c>
      <c r="Q254">
        <v>2026</v>
      </c>
      <c r="R254" t="s">
        <v>1913</v>
      </c>
      <c r="U254" t="s">
        <v>1914</v>
      </c>
      <c r="V254" t="s">
        <v>1915</v>
      </c>
      <c r="W254" t="s">
        <v>1916</v>
      </c>
      <c r="X254" t="s">
        <v>1917</v>
      </c>
      <c r="AA254" t="s">
        <v>1918</v>
      </c>
      <c r="AD254" t="s">
        <v>1919</v>
      </c>
      <c r="AM254" t="s">
        <v>1955</v>
      </c>
      <c r="AN254" t="s">
        <v>1956</v>
      </c>
      <c r="AO254" t="s">
        <v>1957</v>
      </c>
      <c r="AP254" t="s">
        <v>1958</v>
      </c>
      <c r="AQ254" t="s">
        <v>1959</v>
      </c>
      <c r="AR254" t="s">
        <v>1959</v>
      </c>
      <c r="AU254" t="s">
        <v>1960</v>
      </c>
      <c r="AV254" t="s">
        <v>1961</v>
      </c>
      <c r="AW254" t="s">
        <v>1962</v>
      </c>
      <c r="AX254" t="s">
        <v>1963</v>
      </c>
    </row>
    <row r="255" spans="5:50" ht="18.75" customHeight="1">
      <c r="R255" t="s">
        <v>1920</v>
      </c>
      <c r="S255" t="s">
        <v>1972</v>
      </c>
      <c r="T255" t="s">
        <v>1921</v>
      </c>
      <c r="AA255" t="s">
        <v>1922</v>
      </c>
      <c r="AB255" t="s">
        <v>1923</v>
      </c>
      <c r="AC255" t="s">
        <v>1924</v>
      </c>
      <c r="AD255" t="s">
        <v>1925</v>
      </c>
      <c r="AE255" t="s">
        <v>1926</v>
      </c>
      <c r="AM255" t="s">
        <v>1964</v>
      </c>
      <c r="AN255" t="s">
        <v>1964</v>
      </c>
    </row>
    <row r="256" spans="5:50" ht="18.75" customHeight="1">
      <c r="E256" t="s">
        <v>1862</v>
      </c>
      <c r="F256">
        <v>0</v>
      </c>
      <c r="G256" t="s">
        <v>1863</v>
      </c>
      <c r="H256">
        <v>0</v>
      </c>
      <c r="I256" t="s">
        <v>2476</v>
      </c>
      <c r="J256" t="s">
        <v>2477</v>
      </c>
      <c r="L256">
        <v>50000</v>
      </c>
      <c r="M256">
        <v>100000</v>
      </c>
      <c r="N256">
        <v>100000</v>
      </c>
      <c r="O256">
        <v>450000</v>
      </c>
      <c r="P256">
        <v>600000</v>
      </c>
      <c r="Q256">
        <v>500000</v>
      </c>
      <c r="AA256" t="s">
        <v>56</v>
      </c>
      <c r="AB256" t="s">
        <v>56</v>
      </c>
      <c r="AC256" t="s">
        <v>56</v>
      </c>
      <c r="AD256" t="s">
        <v>56</v>
      </c>
      <c r="AE256" t="s">
        <v>56</v>
      </c>
      <c r="AG256" t="s">
        <v>2480</v>
      </c>
      <c r="AI256" t="s">
        <v>1862</v>
      </c>
      <c r="AK256" t="s">
        <v>1863</v>
      </c>
      <c r="AM256">
        <v>0</v>
      </c>
      <c r="AS256">
        <v>0.4</v>
      </c>
    </row>
    <row r="257" spans="5:50" ht="18.75" customHeight="1">
      <c r="E257" t="s">
        <v>1862</v>
      </c>
      <c r="F257">
        <v>0</v>
      </c>
      <c r="G257" t="s">
        <v>1870</v>
      </c>
      <c r="H257">
        <v>0</v>
      </c>
      <c r="I257" t="s">
        <v>2476</v>
      </c>
      <c r="J257" t="s">
        <v>2478</v>
      </c>
      <c r="L257">
        <v>40000</v>
      </c>
      <c r="M257">
        <v>80000</v>
      </c>
      <c r="N257">
        <v>80000</v>
      </c>
      <c r="O257">
        <v>350000</v>
      </c>
      <c r="P257">
        <v>450000</v>
      </c>
      <c r="Q257">
        <v>200000</v>
      </c>
      <c r="AA257" t="s">
        <v>56</v>
      </c>
      <c r="AB257" t="s">
        <v>56</v>
      </c>
      <c r="AC257" t="s">
        <v>56</v>
      </c>
      <c r="AD257" t="s">
        <v>56</v>
      </c>
      <c r="AE257" t="s">
        <v>56</v>
      </c>
      <c r="AG257" t="s">
        <v>2480</v>
      </c>
      <c r="AI257" t="s">
        <v>1862</v>
      </c>
      <c r="AK257" t="s">
        <v>1870</v>
      </c>
      <c r="AM257">
        <v>0</v>
      </c>
      <c r="AS257">
        <v>0.4</v>
      </c>
    </row>
    <row r="258" spans="5:50" ht="18.75" customHeight="1">
      <c r="E258" t="s">
        <v>1862</v>
      </c>
      <c r="F258">
        <v>0</v>
      </c>
      <c r="G258" t="s">
        <v>1871</v>
      </c>
      <c r="H258">
        <v>0</v>
      </c>
      <c r="I258" t="s">
        <v>1145</v>
      </c>
      <c r="J258" t="s">
        <v>2479</v>
      </c>
      <c r="L258">
        <v>0</v>
      </c>
      <c r="M258">
        <v>100000</v>
      </c>
      <c r="N258">
        <v>450000</v>
      </c>
      <c r="O258">
        <v>800000</v>
      </c>
      <c r="P258">
        <v>750000</v>
      </c>
      <c r="Q258">
        <v>0</v>
      </c>
      <c r="AA258" t="s">
        <v>56</v>
      </c>
      <c r="AB258" t="s">
        <v>56</v>
      </c>
      <c r="AC258" t="s">
        <v>56</v>
      </c>
      <c r="AD258" t="s">
        <v>56</v>
      </c>
      <c r="AE258" t="s">
        <v>56</v>
      </c>
      <c r="AG258" t="s">
        <v>2480</v>
      </c>
      <c r="AI258" t="s">
        <v>1862</v>
      </c>
      <c r="AK258" t="s">
        <v>1871</v>
      </c>
      <c r="AM258">
        <v>0</v>
      </c>
      <c r="AS258">
        <v>0.4</v>
      </c>
    </row>
    <row r="260" spans="5:50" ht="18.75" customHeight="1">
      <c r="AG260" t="s">
        <v>1944</v>
      </c>
    </row>
    <row r="261" spans="5:50" ht="18.75" customHeight="1">
      <c r="AG261" t="s">
        <v>1945</v>
      </c>
    </row>
    <row r="262" spans="5:50" ht="18.75" customHeight="1">
      <c r="E262" t="s">
        <v>1901</v>
      </c>
      <c r="AG262" t="s">
        <v>1946</v>
      </c>
      <c r="AH262" t="s">
        <v>1947</v>
      </c>
      <c r="AI262" t="s">
        <v>1948</v>
      </c>
      <c r="AJ262" t="s">
        <v>1949</v>
      </c>
      <c r="AK262" t="s">
        <v>1950</v>
      </c>
      <c r="AL262" t="s">
        <v>1951</v>
      </c>
      <c r="AM262" t="s">
        <v>1952</v>
      </c>
      <c r="AS262" t="s">
        <v>1953</v>
      </c>
      <c r="AU262" t="s">
        <v>1954</v>
      </c>
    </row>
    <row r="263" spans="5:50" ht="18.75" customHeight="1">
      <c r="E263" t="s">
        <v>1902</v>
      </c>
      <c r="F263" t="s">
        <v>1903</v>
      </c>
      <c r="G263" t="s">
        <v>1904</v>
      </c>
      <c r="H263" t="s">
        <v>1905</v>
      </c>
      <c r="I263" t="s">
        <v>1906</v>
      </c>
      <c r="J263" t="s">
        <v>1907</v>
      </c>
      <c r="K263" t="s">
        <v>2481</v>
      </c>
      <c r="R263" t="s">
        <v>1971</v>
      </c>
      <c r="S263" t="s">
        <v>1909</v>
      </c>
      <c r="T263" t="s">
        <v>1910</v>
      </c>
      <c r="Y263" t="s">
        <v>1911</v>
      </c>
      <c r="Z263" t="s">
        <v>1912</v>
      </c>
    </row>
    <row r="264" spans="5:50" ht="18.75" customHeight="1">
      <c r="K264">
        <v>2020</v>
      </c>
      <c r="L264">
        <v>2021</v>
      </c>
      <c r="M264">
        <v>2022</v>
      </c>
      <c r="N264">
        <v>2023</v>
      </c>
      <c r="O264">
        <v>2024</v>
      </c>
      <c r="P264">
        <v>2025</v>
      </c>
      <c r="Q264">
        <v>2026</v>
      </c>
      <c r="R264" t="s">
        <v>1913</v>
      </c>
      <c r="U264" t="s">
        <v>1914</v>
      </c>
      <c r="V264" t="s">
        <v>1915</v>
      </c>
      <c r="W264" t="s">
        <v>1916</v>
      </c>
      <c r="X264" t="s">
        <v>1917</v>
      </c>
      <c r="AA264" t="s">
        <v>1918</v>
      </c>
      <c r="AD264" t="s">
        <v>1919</v>
      </c>
      <c r="AM264" t="s">
        <v>1955</v>
      </c>
      <c r="AN264" t="s">
        <v>1956</v>
      </c>
      <c r="AO264" t="s">
        <v>1957</v>
      </c>
      <c r="AP264" t="s">
        <v>1958</v>
      </c>
      <c r="AQ264" t="s">
        <v>1959</v>
      </c>
      <c r="AR264" t="s">
        <v>1959</v>
      </c>
      <c r="AU264" t="s">
        <v>1960</v>
      </c>
      <c r="AV264" t="s">
        <v>1961</v>
      </c>
      <c r="AW264" t="s">
        <v>1962</v>
      </c>
      <c r="AX264" t="s">
        <v>1963</v>
      </c>
    </row>
    <row r="265" spans="5:50" ht="18.75" customHeight="1">
      <c r="J265" t="s">
        <v>2482</v>
      </c>
      <c r="R265" t="s">
        <v>1920</v>
      </c>
      <c r="S265" t="s">
        <v>1972</v>
      </c>
      <c r="T265" t="s">
        <v>1921</v>
      </c>
      <c r="AA265" t="s">
        <v>1922</v>
      </c>
      <c r="AB265" t="s">
        <v>1923</v>
      </c>
      <c r="AC265" t="s">
        <v>1924</v>
      </c>
      <c r="AD265" t="s">
        <v>1925</v>
      </c>
      <c r="AE265" t="s">
        <v>1926</v>
      </c>
      <c r="AM265" t="s">
        <v>1964</v>
      </c>
      <c r="AN265" t="s">
        <v>1964</v>
      </c>
    </row>
    <row r="266" spans="5:50" ht="18.75" customHeight="1">
      <c r="E266" t="s">
        <v>2483</v>
      </c>
      <c r="F266">
        <v>0</v>
      </c>
      <c r="G266" t="s">
        <v>1876</v>
      </c>
      <c r="H266">
        <v>0</v>
      </c>
      <c r="I266" t="s">
        <v>2102</v>
      </c>
      <c r="J266">
        <v>6850000000</v>
      </c>
      <c r="K266" t="s">
        <v>28</v>
      </c>
      <c r="L266" t="s">
        <v>2484</v>
      </c>
      <c r="M266">
        <v>210000</v>
      </c>
      <c r="N266">
        <v>470000</v>
      </c>
      <c r="O266">
        <v>2121000</v>
      </c>
      <c r="P266">
        <v>2140000</v>
      </c>
      <c r="Q266">
        <v>1909000</v>
      </c>
      <c r="AA266" t="s">
        <v>56</v>
      </c>
      <c r="AB266" t="s">
        <v>56</v>
      </c>
      <c r="AC266" t="s">
        <v>56</v>
      </c>
      <c r="AD266" t="s">
        <v>56</v>
      </c>
      <c r="AE266" t="s">
        <v>56</v>
      </c>
      <c r="AG266" t="s">
        <v>2480</v>
      </c>
      <c r="AI266" t="s">
        <v>2483</v>
      </c>
      <c r="AK266" t="s">
        <v>1876</v>
      </c>
      <c r="AM266">
        <v>0</v>
      </c>
      <c r="AS266">
        <v>0</v>
      </c>
    </row>
    <row r="267" spans="5:50" ht="18.75" customHeight="1">
      <c r="E267" t="s">
        <v>2483</v>
      </c>
      <c r="F267">
        <v>0</v>
      </c>
      <c r="G267" t="s">
        <v>1877</v>
      </c>
      <c r="H267">
        <v>0</v>
      </c>
      <c r="I267" t="s">
        <v>2102</v>
      </c>
      <c r="J267">
        <v>400000000</v>
      </c>
      <c r="K267">
        <v>0</v>
      </c>
      <c r="L267">
        <v>25000</v>
      </c>
      <c r="M267">
        <v>60000</v>
      </c>
      <c r="N267">
        <v>80000</v>
      </c>
      <c r="O267">
        <v>80000</v>
      </c>
      <c r="P267">
        <v>80000</v>
      </c>
      <c r="Q267">
        <v>75000</v>
      </c>
      <c r="AA267" t="s">
        <v>56</v>
      </c>
      <c r="AB267" t="s">
        <v>56</v>
      </c>
      <c r="AC267" t="s">
        <v>56</v>
      </c>
      <c r="AD267" t="s">
        <v>56</v>
      </c>
      <c r="AE267" t="s">
        <v>56</v>
      </c>
      <c r="AG267" t="s">
        <v>2480</v>
      </c>
      <c r="AI267" t="s">
        <v>2483</v>
      </c>
      <c r="AK267" t="s">
        <v>1877</v>
      </c>
      <c r="AM267">
        <v>0</v>
      </c>
      <c r="AS267">
        <v>0</v>
      </c>
    </row>
    <row r="268" spans="5:50" ht="18.75" customHeight="1">
      <c r="E268" t="s">
        <v>2483</v>
      </c>
      <c r="F268">
        <v>0</v>
      </c>
      <c r="G268" t="s">
        <v>1879</v>
      </c>
      <c r="H268">
        <v>0</v>
      </c>
      <c r="I268" t="s">
        <v>2102</v>
      </c>
      <c r="J268">
        <v>2000000000</v>
      </c>
      <c r="K268">
        <v>0</v>
      </c>
      <c r="L268">
        <v>0</v>
      </c>
      <c r="M268">
        <v>100000</v>
      </c>
      <c r="N268">
        <v>250000</v>
      </c>
      <c r="O268">
        <v>600000</v>
      </c>
      <c r="P268">
        <v>700000</v>
      </c>
      <c r="Q268">
        <v>350000</v>
      </c>
      <c r="AA268" t="s">
        <v>56</v>
      </c>
      <c r="AB268" t="s">
        <v>56</v>
      </c>
      <c r="AC268" t="s">
        <v>56</v>
      </c>
      <c r="AD268" t="s">
        <v>56</v>
      </c>
      <c r="AE268" t="s">
        <v>56</v>
      </c>
      <c r="AG268" t="s">
        <v>2480</v>
      </c>
      <c r="AI268" t="s">
        <v>2483</v>
      </c>
      <c r="AK268" t="s">
        <v>1879</v>
      </c>
      <c r="AM268">
        <v>0</v>
      </c>
      <c r="AS268">
        <v>0</v>
      </c>
    </row>
    <row r="269" spans="5:50" ht="18.75" customHeight="1">
      <c r="E269" t="s">
        <v>2483</v>
      </c>
      <c r="G269" t="s">
        <v>1883</v>
      </c>
      <c r="H269">
        <v>0</v>
      </c>
      <c r="I269" t="s">
        <v>2102</v>
      </c>
      <c r="J269">
        <v>600000000</v>
      </c>
      <c r="K269">
        <v>0</v>
      </c>
      <c r="L269">
        <v>0</v>
      </c>
      <c r="M269">
        <v>30000</v>
      </c>
      <c r="N269">
        <v>90000</v>
      </c>
      <c r="O269">
        <v>150000</v>
      </c>
      <c r="P269">
        <v>165000</v>
      </c>
      <c r="Q269">
        <v>165000</v>
      </c>
      <c r="AA269" t="s">
        <v>56</v>
      </c>
      <c r="AB269" t="s">
        <v>56</v>
      </c>
      <c r="AC269" t="s">
        <v>56</v>
      </c>
      <c r="AD269" t="s">
        <v>56</v>
      </c>
      <c r="AE269" t="s">
        <v>56</v>
      </c>
      <c r="AG269" t="s">
        <v>2480</v>
      </c>
      <c r="AI269" t="s">
        <v>2483</v>
      </c>
      <c r="AK269" t="s">
        <v>1883</v>
      </c>
      <c r="AM269">
        <v>0</v>
      </c>
      <c r="AS269">
        <v>0</v>
      </c>
    </row>
    <row r="270" spans="5:50" ht="18.75" customHeight="1">
      <c r="AA270" t="s">
        <v>56</v>
      </c>
      <c r="AB270" t="s">
        <v>56</v>
      </c>
      <c r="AC270" t="s">
        <v>56</v>
      </c>
      <c r="AD270" t="s">
        <v>56</v>
      </c>
      <c r="AE270" t="s">
        <v>56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DEF3-6C7E-4F52-BF56-5CA0855B2FA9}">
  <dimension ref="B2:X23"/>
  <sheetViews>
    <sheetView showGridLines="0" zoomScaleNormal="100" workbookViewId="0">
      <selection activeCell="B2" sqref="B2:X23"/>
    </sheetView>
  </sheetViews>
  <sheetFormatPr defaultColWidth="9.140625" defaultRowHeight="15.75"/>
  <cols>
    <col min="1" max="1" width="3.28515625" style="3" customWidth="1"/>
    <col min="2" max="2" width="45.85546875" style="3" customWidth="1"/>
    <col min="3" max="3" width="23.28515625" style="3" hidden="1" customWidth="1"/>
    <col min="4" max="4" width="47.5703125" style="3" customWidth="1"/>
    <col min="5" max="5" width="23.42578125" style="3" hidden="1" customWidth="1"/>
    <col min="6" max="6" width="17.42578125" style="3" customWidth="1"/>
    <col min="7" max="7" width="17.42578125" style="3" hidden="1" customWidth="1"/>
    <col min="8" max="8" width="18.140625" style="3" customWidth="1"/>
    <col min="9" max="9" width="3.5703125" style="3" customWidth="1"/>
    <col min="10" max="10" width="16.85546875" style="3" customWidth="1"/>
    <col min="11" max="11" width="12.5703125" style="3" hidden="1" customWidth="1"/>
    <col min="12" max="12" width="12.5703125" style="3" customWidth="1"/>
    <col min="13" max="13" width="16.42578125" style="3" hidden="1" customWidth="1"/>
    <col min="14" max="14" width="19.7109375" style="3" customWidth="1"/>
    <col min="15" max="15" width="18.5703125" style="3" customWidth="1"/>
    <col min="16" max="17" width="18.5703125" style="3" hidden="1" customWidth="1"/>
    <col min="18" max="18" width="18.140625" style="3" customWidth="1"/>
    <col min="19" max="19" width="79.5703125" style="3" customWidth="1"/>
    <col min="20" max="20" width="20.7109375" style="3" hidden="1" customWidth="1"/>
    <col min="21" max="21" width="45.7109375" style="3" customWidth="1"/>
    <col min="22" max="22" width="20.85546875" style="3" hidden="1" customWidth="1"/>
    <col min="23" max="23" width="21.7109375" style="3" customWidth="1"/>
    <col min="24" max="24" width="19.140625" style="3" hidden="1" customWidth="1"/>
    <col min="25" max="25" width="2.42578125" style="3" customWidth="1"/>
    <col min="26" max="16384" width="9.140625" style="3"/>
  </cols>
  <sheetData>
    <row r="2" spans="2:24">
      <c r="B2" s="596" t="s">
        <v>0</v>
      </c>
      <c r="C2" s="597"/>
      <c r="D2" s="597"/>
      <c r="E2" s="598"/>
      <c r="F2" s="1"/>
      <c r="G2" s="1"/>
      <c r="H2" s="1"/>
      <c r="I2" s="1"/>
      <c r="J2" s="1"/>
      <c r="K2" s="1"/>
      <c r="L2" s="1"/>
      <c r="M2" s="1"/>
      <c r="N2" s="1"/>
      <c r="O2" s="1"/>
      <c r="P2" s="1"/>
      <c r="Q2" s="1"/>
      <c r="R2" s="1"/>
      <c r="S2" s="1"/>
      <c r="T2" s="1"/>
      <c r="U2" s="1"/>
      <c r="V2" s="1"/>
      <c r="W2" s="1"/>
      <c r="X2" s="2"/>
    </row>
    <row r="3" spans="2:24" ht="88.5" customHeight="1">
      <c r="B3" s="4" t="s">
        <v>1</v>
      </c>
      <c r="C3" s="5" t="s">
        <v>2</v>
      </c>
      <c r="D3" s="4" t="s">
        <v>3</v>
      </c>
      <c r="E3" s="5" t="s">
        <v>4</v>
      </c>
      <c r="F3" s="5" t="s">
        <v>5</v>
      </c>
      <c r="G3" s="5" t="s">
        <v>6</v>
      </c>
      <c r="H3" s="599" t="s">
        <v>7</v>
      </c>
      <c r="I3" s="600"/>
      <c r="J3" s="600"/>
      <c r="K3" s="600"/>
      <c r="L3" s="600"/>
      <c r="M3" s="601"/>
      <c r="N3" s="4" t="s">
        <v>8</v>
      </c>
      <c r="O3" s="5" t="s">
        <v>9</v>
      </c>
      <c r="P3" s="5" t="s">
        <v>10</v>
      </c>
      <c r="Q3" s="5" t="s">
        <v>11</v>
      </c>
      <c r="R3" s="5" t="s">
        <v>12</v>
      </c>
      <c r="S3" s="5" t="s">
        <v>13</v>
      </c>
      <c r="T3" s="5" t="s">
        <v>14</v>
      </c>
      <c r="U3" s="5" t="s">
        <v>15</v>
      </c>
      <c r="V3" s="5" t="s">
        <v>16</v>
      </c>
      <c r="W3" s="5" t="s">
        <v>17</v>
      </c>
      <c r="X3" s="5" t="s">
        <v>18</v>
      </c>
    </row>
    <row r="4" spans="2:24" ht="29.25" customHeight="1">
      <c r="B4" s="6"/>
      <c r="C4" s="7"/>
      <c r="D4" s="6"/>
      <c r="E4" s="7"/>
      <c r="F4" s="7"/>
      <c r="G4" s="7"/>
      <c r="H4" s="8" t="s">
        <v>19</v>
      </c>
      <c r="I4" s="5" t="s">
        <v>20</v>
      </c>
      <c r="J4" s="8" t="s">
        <v>21</v>
      </c>
      <c r="K4" s="5" t="s">
        <v>22</v>
      </c>
      <c r="L4" s="8" t="s">
        <v>23</v>
      </c>
      <c r="M4" s="5" t="s">
        <v>24</v>
      </c>
      <c r="N4" s="9"/>
      <c r="O4" s="7"/>
      <c r="P4" s="7"/>
      <c r="Q4" s="7"/>
      <c r="R4" s="7"/>
      <c r="S4" s="7"/>
      <c r="T4" s="7"/>
      <c r="U4" s="7"/>
      <c r="V4" s="7"/>
      <c r="W4" s="7"/>
      <c r="X4" s="7"/>
    </row>
    <row r="5" spans="2:24" ht="15.75" customHeight="1">
      <c r="B5" s="602" t="s">
        <v>25</v>
      </c>
      <c r="C5" s="603"/>
      <c r="D5" s="603"/>
      <c r="E5" s="604"/>
      <c r="F5" s="10"/>
      <c r="G5" s="10"/>
      <c r="H5" s="10"/>
      <c r="I5" s="10"/>
      <c r="J5" s="10"/>
      <c r="K5" s="10"/>
      <c r="L5" s="10"/>
      <c r="M5" s="10"/>
      <c r="N5" s="10"/>
      <c r="O5" s="10"/>
      <c r="P5" s="10"/>
      <c r="Q5" s="10"/>
      <c r="R5" s="10"/>
      <c r="S5" s="10"/>
      <c r="T5" s="10"/>
      <c r="U5" s="10"/>
      <c r="V5" s="10"/>
      <c r="W5" s="10"/>
      <c r="X5" s="10"/>
    </row>
    <row r="6" spans="2:24" ht="78.75">
      <c r="B6" s="605" t="s">
        <v>1887</v>
      </c>
      <c r="C6" s="11"/>
      <c r="D6" s="12" t="s">
        <v>26</v>
      </c>
      <c r="E6" s="30"/>
      <c r="F6" s="30"/>
      <c r="G6" s="30"/>
      <c r="H6" s="30" t="s">
        <v>27</v>
      </c>
      <c r="I6" s="13"/>
      <c r="J6" s="30" t="s">
        <v>28</v>
      </c>
      <c r="K6" s="30"/>
      <c r="L6" s="30" t="s">
        <v>28</v>
      </c>
      <c r="M6" s="30"/>
      <c r="N6" s="13" t="s">
        <v>29</v>
      </c>
      <c r="O6" s="30" t="s">
        <v>30</v>
      </c>
      <c r="P6" s="30"/>
      <c r="Q6" s="30"/>
      <c r="R6" s="30" t="s">
        <v>31</v>
      </c>
      <c r="S6" s="12" t="s">
        <v>32</v>
      </c>
      <c r="T6" s="10"/>
      <c r="U6" s="14"/>
      <c r="V6" s="14"/>
      <c r="W6" s="30" t="s">
        <v>31</v>
      </c>
      <c r="X6" s="10"/>
    </row>
    <row r="7" spans="2:24" ht="31.5">
      <c r="B7" s="606"/>
      <c r="C7" s="11"/>
      <c r="D7" s="12" t="s">
        <v>33</v>
      </c>
      <c r="E7" s="30"/>
      <c r="F7" s="30"/>
      <c r="G7" s="30"/>
      <c r="H7" s="30" t="s">
        <v>34</v>
      </c>
      <c r="I7" s="13"/>
      <c r="J7" s="30" t="s">
        <v>28</v>
      </c>
      <c r="K7" s="30"/>
      <c r="L7" s="30" t="s">
        <v>28</v>
      </c>
      <c r="M7" s="30"/>
      <c r="N7" s="13" t="s">
        <v>29</v>
      </c>
      <c r="O7" s="30" t="s">
        <v>35</v>
      </c>
      <c r="P7" s="30"/>
      <c r="Q7" s="30"/>
      <c r="R7" s="30" t="s">
        <v>36</v>
      </c>
      <c r="S7" s="12" t="s">
        <v>37</v>
      </c>
      <c r="T7" s="10"/>
      <c r="U7" s="14"/>
      <c r="V7" s="14"/>
      <c r="W7" s="30" t="s">
        <v>36</v>
      </c>
      <c r="X7" s="10"/>
    </row>
    <row r="8" spans="2:24" ht="47.25">
      <c r="B8" s="606"/>
      <c r="C8" s="11"/>
      <c r="D8" s="12" t="s">
        <v>38</v>
      </c>
      <c r="E8" s="30"/>
      <c r="F8" s="30"/>
      <c r="G8" s="30"/>
      <c r="H8" s="30" t="s">
        <v>39</v>
      </c>
      <c r="I8" s="13"/>
      <c r="J8" s="30" t="s">
        <v>28</v>
      </c>
      <c r="K8" s="30"/>
      <c r="L8" s="15" t="s">
        <v>40</v>
      </c>
      <c r="M8" s="30"/>
      <c r="N8" s="13" t="s">
        <v>41</v>
      </c>
      <c r="O8" s="16" t="s">
        <v>42</v>
      </c>
      <c r="P8" s="30"/>
      <c r="Q8" s="30"/>
      <c r="R8" s="30" t="s">
        <v>31</v>
      </c>
      <c r="S8" s="12" t="s">
        <v>43</v>
      </c>
      <c r="T8" s="10"/>
      <c r="U8" s="14"/>
      <c r="V8" s="14"/>
      <c r="W8" s="30" t="s">
        <v>31</v>
      </c>
      <c r="X8" s="10"/>
    </row>
    <row r="9" spans="2:24" ht="78.75">
      <c r="B9" s="606"/>
      <c r="C9" s="11"/>
      <c r="D9" s="11" t="s">
        <v>44</v>
      </c>
      <c r="E9" s="11"/>
      <c r="F9" s="11"/>
      <c r="G9" s="11"/>
      <c r="H9" s="30" t="s">
        <v>45</v>
      </c>
      <c r="I9" s="2"/>
      <c r="J9" s="30" t="s">
        <v>28</v>
      </c>
      <c r="K9" s="30"/>
      <c r="L9" s="17" t="s">
        <v>46</v>
      </c>
      <c r="M9" s="11"/>
      <c r="N9" s="30" t="s">
        <v>41</v>
      </c>
      <c r="O9" s="30" t="s">
        <v>35</v>
      </c>
      <c r="P9" s="11"/>
      <c r="Q9" s="11"/>
      <c r="R9" s="30" t="s">
        <v>36</v>
      </c>
      <c r="S9" s="11" t="s">
        <v>47</v>
      </c>
      <c r="T9" s="10"/>
      <c r="U9" s="14"/>
      <c r="V9" s="14"/>
      <c r="W9" s="30" t="s">
        <v>36</v>
      </c>
      <c r="X9" s="10"/>
    </row>
    <row r="10" spans="2:24" ht="47.25">
      <c r="B10" s="607"/>
      <c r="C10" s="11"/>
      <c r="D10" s="18" t="s">
        <v>48</v>
      </c>
      <c r="E10" s="30"/>
      <c r="F10" s="30"/>
      <c r="G10" s="30"/>
      <c r="H10" s="30" t="s">
        <v>49</v>
      </c>
      <c r="I10" s="13"/>
      <c r="J10" s="30" t="s">
        <v>28</v>
      </c>
      <c r="K10" s="19"/>
      <c r="L10" s="15" t="s">
        <v>50</v>
      </c>
      <c r="M10" s="20"/>
      <c r="N10" s="13" t="s">
        <v>41</v>
      </c>
      <c r="O10" s="30" t="s">
        <v>35</v>
      </c>
      <c r="P10" s="30"/>
      <c r="Q10" s="30"/>
      <c r="R10" s="30" t="s">
        <v>51</v>
      </c>
      <c r="S10" s="12" t="s">
        <v>52</v>
      </c>
      <c r="T10" s="10"/>
      <c r="U10" s="21" t="s">
        <v>53</v>
      </c>
      <c r="V10" s="14"/>
      <c r="W10" s="30" t="s">
        <v>54</v>
      </c>
      <c r="X10" s="10"/>
    </row>
    <row r="11" spans="2:24" ht="40.5" customHeight="1">
      <c r="B11" s="608" t="s">
        <v>1888</v>
      </c>
      <c r="C11" s="11"/>
      <c r="D11" s="11" t="s">
        <v>55</v>
      </c>
      <c r="E11" s="15" t="s">
        <v>56</v>
      </c>
      <c r="F11" s="15"/>
      <c r="G11" s="15" t="s">
        <v>56</v>
      </c>
      <c r="H11" s="30" t="s">
        <v>57</v>
      </c>
      <c r="I11" s="2"/>
      <c r="J11" s="30" t="s">
        <v>28</v>
      </c>
      <c r="K11" s="30" t="s">
        <v>58</v>
      </c>
      <c r="L11" s="30" t="s">
        <v>28</v>
      </c>
      <c r="M11" s="15" t="s">
        <v>59</v>
      </c>
      <c r="N11" s="30" t="s">
        <v>41</v>
      </c>
      <c r="O11" s="22" t="s">
        <v>60</v>
      </c>
      <c r="P11" s="30"/>
      <c r="Q11" s="30"/>
      <c r="R11" s="11" t="s">
        <v>61</v>
      </c>
      <c r="S11" s="11" t="s">
        <v>62</v>
      </c>
      <c r="T11" s="10"/>
      <c r="U11" s="14"/>
      <c r="V11" s="14"/>
      <c r="W11" s="23" t="s">
        <v>63</v>
      </c>
      <c r="X11" s="10"/>
    </row>
    <row r="12" spans="2:24" ht="47.45" customHeight="1">
      <c r="B12" s="609"/>
      <c r="C12" s="11"/>
      <c r="D12" s="24" t="s">
        <v>64</v>
      </c>
      <c r="E12" s="11"/>
      <c r="F12" s="11"/>
      <c r="G12" s="11"/>
      <c r="H12" s="23" t="s">
        <v>65</v>
      </c>
      <c r="I12" s="2"/>
      <c r="J12" s="30" t="s">
        <v>28</v>
      </c>
      <c r="K12" s="30"/>
      <c r="L12" s="25" t="s">
        <v>66</v>
      </c>
      <c r="M12" s="11"/>
      <c r="N12" s="23" t="s">
        <v>67</v>
      </c>
      <c r="O12" s="22" t="s">
        <v>60</v>
      </c>
      <c r="P12" s="11"/>
      <c r="Q12" s="11"/>
      <c r="R12" s="30" t="s">
        <v>61</v>
      </c>
      <c r="S12" s="26" t="s">
        <v>68</v>
      </c>
      <c r="T12" s="10"/>
      <c r="U12" s="14"/>
      <c r="V12" s="14"/>
      <c r="W12" s="23" t="s">
        <v>63</v>
      </c>
      <c r="X12" s="10"/>
    </row>
    <row r="13" spans="2:24" ht="40.5" customHeight="1">
      <c r="B13" s="593" t="s">
        <v>1889</v>
      </c>
      <c r="C13" s="11"/>
      <c r="D13" s="12" t="s">
        <v>69</v>
      </c>
      <c r="E13" s="30"/>
      <c r="F13" s="30"/>
      <c r="G13" s="13"/>
      <c r="H13" s="30" t="s">
        <v>70</v>
      </c>
      <c r="I13" s="30"/>
      <c r="J13" s="30">
        <v>1781780</v>
      </c>
      <c r="K13" s="30"/>
      <c r="L13" s="13" t="s">
        <v>71</v>
      </c>
      <c r="M13" s="30"/>
      <c r="N13" s="30" t="s">
        <v>41</v>
      </c>
      <c r="O13" s="30" t="s">
        <v>35</v>
      </c>
      <c r="P13" s="30"/>
      <c r="Q13" s="30"/>
      <c r="R13" s="30" t="s">
        <v>72</v>
      </c>
      <c r="S13" s="12" t="s">
        <v>73</v>
      </c>
      <c r="T13" s="27"/>
      <c r="U13" s="11" t="s">
        <v>74</v>
      </c>
      <c r="V13" s="28"/>
      <c r="W13" s="11" t="s">
        <v>75</v>
      </c>
      <c r="X13" s="10"/>
    </row>
    <row r="14" spans="2:24" ht="47.25">
      <c r="B14" s="594"/>
      <c r="C14" s="11"/>
      <c r="D14" s="11" t="s">
        <v>76</v>
      </c>
      <c r="E14" s="11"/>
      <c r="F14" s="11"/>
      <c r="G14" s="11"/>
      <c r="H14" s="30" t="s">
        <v>77</v>
      </c>
      <c r="I14" s="2"/>
      <c r="J14" s="30">
        <v>5365</v>
      </c>
      <c r="K14" s="11"/>
      <c r="L14" s="30" t="s">
        <v>78</v>
      </c>
      <c r="M14" s="11"/>
      <c r="N14" s="30" t="s">
        <v>41</v>
      </c>
      <c r="O14" s="30" t="s">
        <v>35</v>
      </c>
      <c r="P14" s="11"/>
      <c r="Q14" s="11"/>
      <c r="R14" s="30" t="s">
        <v>72</v>
      </c>
      <c r="S14" s="11" t="s">
        <v>79</v>
      </c>
      <c r="T14" s="27"/>
      <c r="U14" s="29" t="s">
        <v>80</v>
      </c>
      <c r="V14" s="28"/>
      <c r="W14" s="11" t="s">
        <v>75</v>
      </c>
      <c r="X14" s="11"/>
    </row>
    <row r="15" spans="2:24" ht="32.25" customHeight="1">
      <c r="B15" s="595"/>
      <c r="C15" s="11"/>
      <c r="D15" s="12" t="s">
        <v>81</v>
      </c>
      <c r="E15" s="11"/>
      <c r="F15" s="11"/>
      <c r="G15" s="11"/>
      <c r="H15" s="30" t="s">
        <v>70</v>
      </c>
      <c r="I15" s="13"/>
      <c r="J15" s="30">
        <v>406</v>
      </c>
      <c r="K15" s="30"/>
      <c r="L15" s="30" t="s">
        <v>82</v>
      </c>
      <c r="M15" s="11"/>
      <c r="N15" s="13" t="s">
        <v>83</v>
      </c>
      <c r="O15" s="30" t="s">
        <v>35</v>
      </c>
      <c r="P15" s="11"/>
      <c r="Q15" s="11"/>
      <c r="R15" s="30" t="s">
        <v>84</v>
      </c>
      <c r="S15" s="12" t="s">
        <v>85</v>
      </c>
      <c r="T15" s="11"/>
      <c r="U15" s="21" t="s">
        <v>86</v>
      </c>
      <c r="V15" s="11"/>
      <c r="W15" s="11" t="s">
        <v>75</v>
      </c>
      <c r="X15" s="11"/>
    </row>
    <row r="16" spans="2:24" ht="47.25">
      <c r="B16" s="593" t="s">
        <v>1890</v>
      </c>
      <c r="C16" s="11"/>
      <c r="D16" s="12" t="s">
        <v>87</v>
      </c>
      <c r="E16" s="11"/>
      <c r="F16" s="11"/>
      <c r="G16" s="11"/>
      <c r="H16" s="30" t="s">
        <v>88</v>
      </c>
      <c r="I16" s="31"/>
      <c r="J16" s="30" t="s">
        <v>28</v>
      </c>
      <c r="K16" s="30"/>
      <c r="L16" s="30" t="s">
        <v>28</v>
      </c>
      <c r="M16" s="11"/>
      <c r="N16" s="13" t="s">
        <v>89</v>
      </c>
      <c r="O16" s="30" t="s">
        <v>90</v>
      </c>
      <c r="P16" s="11"/>
      <c r="Q16" s="11"/>
      <c r="R16" s="30" t="s">
        <v>91</v>
      </c>
      <c r="S16" s="12" t="s">
        <v>92</v>
      </c>
      <c r="T16" s="11"/>
      <c r="U16" s="29" t="s">
        <v>93</v>
      </c>
      <c r="V16" s="11"/>
      <c r="W16" s="11" t="s">
        <v>94</v>
      </c>
      <c r="X16" s="2"/>
    </row>
    <row r="17" spans="2:24" ht="31.5">
      <c r="B17" s="594"/>
      <c r="C17" s="11"/>
      <c r="D17" s="12" t="s">
        <v>95</v>
      </c>
      <c r="E17" s="11"/>
      <c r="F17" s="11"/>
      <c r="G17" s="11"/>
      <c r="H17" s="30" t="s">
        <v>96</v>
      </c>
      <c r="I17" s="31"/>
      <c r="J17" s="30" t="s">
        <v>28</v>
      </c>
      <c r="K17" s="30"/>
      <c r="L17" s="30" t="s">
        <v>28</v>
      </c>
      <c r="M17" s="11"/>
      <c r="N17" s="13" t="s">
        <v>97</v>
      </c>
      <c r="O17" s="30" t="s">
        <v>90</v>
      </c>
      <c r="P17" s="11"/>
      <c r="Q17" s="11"/>
      <c r="R17" s="32" t="s">
        <v>98</v>
      </c>
      <c r="S17" s="12" t="s">
        <v>99</v>
      </c>
      <c r="T17" s="11"/>
      <c r="U17" s="11" t="s">
        <v>93</v>
      </c>
      <c r="V17" s="11"/>
      <c r="W17" s="11" t="s">
        <v>100</v>
      </c>
      <c r="X17" s="2"/>
    </row>
    <row r="18" spans="2:24" ht="31.5">
      <c r="B18" s="594"/>
      <c r="C18" s="11"/>
      <c r="D18" s="12" t="s">
        <v>101</v>
      </c>
      <c r="E18" s="11"/>
      <c r="F18" s="11"/>
      <c r="G18" s="11"/>
      <c r="H18" s="30" t="s">
        <v>102</v>
      </c>
      <c r="I18" s="31"/>
      <c r="J18" s="30" t="s">
        <v>28</v>
      </c>
      <c r="K18" s="30"/>
      <c r="L18" s="30" t="s">
        <v>28</v>
      </c>
      <c r="M18" s="11"/>
      <c r="N18" s="13" t="s">
        <v>41</v>
      </c>
      <c r="O18" s="30" t="s">
        <v>90</v>
      </c>
      <c r="P18" s="11"/>
      <c r="Q18" s="11"/>
      <c r="R18" s="30" t="s">
        <v>103</v>
      </c>
      <c r="S18" s="12" t="s">
        <v>104</v>
      </c>
      <c r="T18" s="11"/>
      <c r="U18" s="11" t="s">
        <v>105</v>
      </c>
      <c r="V18" s="11"/>
      <c r="W18" s="11" t="s">
        <v>106</v>
      </c>
      <c r="X18" s="2"/>
    </row>
    <row r="19" spans="2:24" ht="31.5">
      <c r="B19" s="594"/>
      <c r="C19" s="11"/>
      <c r="D19" s="12" t="s">
        <v>107</v>
      </c>
      <c r="E19" s="11"/>
      <c r="F19" s="11"/>
      <c r="G19" s="11"/>
      <c r="H19" s="30" t="s">
        <v>108</v>
      </c>
      <c r="I19" s="31"/>
      <c r="J19" s="30" t="s">
        <v>28</v>
      </c>
      <c r="K19" s="30"/>
      <c r="L19" s="30" t="s">
        <v>28</v>
      </c>
      <c r="M19" s="11"/>
      <c r="N19" s="13" t="s">
        <v>41</v>
      </c>
      <c r="O19" s="30" t="s">
        <v>109</v>
      </c>
      <c r="P19" s="11"/>
      <c r="Q19" s="11"/>
      <c r="R19" s="32" t="s">
        <v>110</v>
      </c>
      <c r="S19" s="12" t="s">
        <v>111</v>
      </c>
      <c r="T19" s="11"/>
      <c r="U19" s="11" t="s">
        <v>112</v>
      </c>
      <c r="V19" s="11"/>
      <c r="W19" s="11" t="s">
        <v>113</v>
      </c>
      <c r="X19" s="2"/>
    </row>
    <row r="20" spans="2:24">
      <c r="B20" s="594"/>
      <c r="C20" s="11"/>
      <c r="D20" s="12" t="s">
        <v>114</v>
      </c>
      <c r="E20" s="11"/>
      <c r="F20" s="11"/>
      <c r="G20" s="11"/>
      <c r="H20" s="30" t="s">
        <v>115</v>
      </c>
      <c r="I20" s="31"/>
      <c r="J20" s="30" t="s">
        <v>28</v>
      </c>
      <c r="K20" s="30"/>
      <c r="L20" s="30" t="s">
        <v>28</v>
      </c>
      <c r="M20" s="11"/>
      <c r="N20" s="13" t="s">
        <v>89</v>
      </c>
      <c r="O20" s="30"/>
      <c r="P20" s="11"/>
      <c r="Q20" s="11"/>
      <c r="R20" s="11"/>
      <c r="S20" s="12"/>
      <c r="T20" s="11"/>
      <c r="U20" s="11"/>
      <c r="V20" s="11"/>
      <c r="W20" s="11"/>
      <c r="X20" s="2"/>
    </row>
    <row r="21" spans="2:24">
      <c r="B21" s="594"/>
      <c r="C21" s="11"/>
      <c r="D21" s="12" t="s">
        <v>116</v>
      </c>
      <c r="E21" s="11"/>
      <c r="F21" s="11"/>
      <c r="G21" s="11"/>
      <c r="H21" s="30" t="s">
        <v>117</v>
      </c>
      <c r="I21" s="31"/>
      <c r="J21" s="30" t="s">
        <v>28</v>
      </c>
      <c r="K21" s="30"/>
      <c r="L21" s="30" t="s">
        <v>28</v>
      </c>
      <c r="M21" s="11"/>
      <c r="N21" s="13" t="s">
        <v>97</v>
      </c>
      <c r="O21" s="30"/>
      <c r="P21" s="11"/>
      <c r="Q21" s="11"/>
      <c r="R21" s="11"/>
      <c r="S21" s="12"/>
      <c r="T21" s="11"/>
      <c r="U21" s="11"/>
      <c r="V21" s="11"/>
      <c r="W21" s="11"/>
      <c r="X21" s="2"/>
    </row>
    <row r="22" spans="2:24" ht="47.25">
      <c r="B22" s="594"/>
      <c r="C22" s="11"/>
      <c r="D22" s="12" t="s">
        <v>118</v>
      </c>
      <c r="E22" s="11"/>
      <c r="F22" s="11"/>
      <c r="G22" s="11"/>
      <c r="H22" s="30" t="s">
        <v>119</v>
      </c>
      <c r="I22" s="31"/>
      <c r="J22" s="30" t="s">
        <v>28</v>
      </c>
      <c r="K22" s="30"/>
      <c r="L22" s="30" t="s">
        <v>28</v>
      </c>
      <c r="M22" s="11"/>
      <c r="N22" s="13" t="s">
        <v>41</v>
      </c>
      <c r="O22" s="30"/>
      <c r="P22" s="11"/>
      <c r="Q22" s="11"/>
      <c r="R22" s="11"/>
      <c r="S22" s="12"/>
      <c r="T22" s="11"/>
      <c r="U22" s="11"/>
      <c r="V22" s="11"/>
      <c r="W22" s="11"/>
      <c r="X22" s="2"/>
    </row>
    <row r="23" spans="2:24">
      <c r="B23" s="595"/>
      <c r="C23" s="11"/>
      <c r="D23" s="12" t="s">
        <v>120</v>
      </c>
      <c r="E23" s="11"/>
      <c r="F23" s="11"/>
      <c r="G23" s="11"/>
      <c r="H23" s="30" t="s">
        <v>121</v>
      </c>
      <c r="I23" s="31"/>
      <c r="J23" s="30" t="s">
        <v>28</v>
      </c>
      <c r="K23" s="30"/>
      <c r="L23" s="30" t="s">
        <v>28</v>
      </c>
      <c r="M23" s="11"/>
      <c r="N23" s="13" t="s">
        <v>41</v>
      </c>
      <c r="O23" s="30"/>
      <c r="P23" s="11"/>
      <c r="Q23" s="11"/>
      <c r="R23" s="11"/>
      <c r="S23" s="12"/>
      <c r="T23" s="11"/>
      <c r="U23" s="11"/>
      <c r="V23" s="11"/>
      <c r="W23" s="11"/>
      <c r="X23" s="2"/>
    </row>
  </sheetData>
  <mergeCells count="7">
    <mergeCell ref="B16:B23"/>
    <mergeCell ref="B2:E2"/>
    <mergeCell ref="H3:M3"/>
    <mergeCell ref="B5:E5"/>
    <mergeCell ref="B6:B10"/>
    <mergeCell ref="B11:B12"/>
    <mergeCell ref="B13:B15"/>
  </mergeCells>
  <pageMargins left="0.7" right="0.7" top="0.75" bottom="0.75" header="0.3" footer="0.3"/>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2FC1-CF52-4ACA-B95B-5D716E3BEAA7}">
  <dimension ref="A1:Z983"/>
  <sheetViews>
    <sheetView showGridLines="0" workbookViewId="0">
      <pane xSplit="1" ySplit="5" topLeftCell="B6" activePane="bottomRight" state="frozen"/>
      <selection pane="topRight" activeCell="B1" sqref="B1"/>
      <selection pane="bottomLeft" activeCell="A6" sqref="A6"/>
      <selection pane="bottomRight" activeCell="B50" sqref="B50"/>
    </sheetView>
  </sheetViews>
  <sheetFormatPr defaultColWidth="14.42578125" defaultRowHeight="15" customHeight="1"/>
  <cols>
    <col min="1" max="1" width="2.42578125" style="34" customWidth="1"/>
    <col min="2" max="2" width="60.5703125" style="34" customWidth="1"/>
    <col min="3" max="3" width="25.140625" style="34" hidden="1" customWidth="1"/>
    <col min="4" max="4" width="43.5703125" style="34" customWidth="1"/>
    <col min="5" max="5" width="20.5703125" style="34" hidden="1" customWidth="1"/>
    <col min="6" max="6" width="13.5703125" style="34" customWidth="1"/>
    <col min="7" max="7" width="19.5703125" style="34" hidden="1" customWidth="1"/>
    <col min="8" max="8" width="19.5703125" style="34" customWidth="1"/>
    <col min="9" max="9" width="18.42578125" style="34" hidden="1" customWidth="1"/>
    <col min="10" max="10" width="21.85546875" style="34" customWidth="1"/>
    <col min="11" max="11" width="18.140625" style="34" hidden="1" customWidth="1"/>
    <col min="12" max="12" width="18.140625" style="34" customWidth="1"/>
    <col min="13" max="13" width="18.140625" style="34" hidden="1" customWidth="1"/>
    <col min="14" max="15" width="18.140625" style="34" customWidth="1"/>
    <col min="16" max="16" width="18.140625" style="34" hidden="1" customWidth="1"/>
    <col min="17" max="17" width="18.140625" style="34" customWidth="1"/>
    <col min="18" max="18" width="18.140625" style="34" hidden="1" customWidth="1"/>
    <col min="19" max="19" width="72.42578125" style="34" customWidth="1"/>
    <col min="20" max="20" width="18.140625" style="34" hidden="1" customWidth="1"/>
    <col min="21" max="21" width="18.140625" style="34" customWidth="1"/>
    <col min="22" max="22" width="18.140625" style="34" hidden="1" customWidth="1"/>
    <col min="23" max="23" width="18.140625" style="34" customWidth="1"/>
    <col min="24" max="24" width="18.140625" style="34" hidden="1" customWidth="1"/>
    <col min="25" max="26" width="8.7109375" style="34" customWidth="1"/>
    <col min="27" max="16384" width="14.42578125" style="34"/>
  </cols>
  <sheetData>
    <row r="1" spans="1:26" ht="13.5" thickBot="1">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ht="13.5" thickBot="1">
      <c r="A2" s="33"/>
      <c r="B2" s="610" t="s">
        <v>0</v>
      </c>
      <c r="C2" s="611"/>
      <c r="D2" s="611"/>
      <c r="E2" s="611"/>
      <c r="F2" s="611"/>
      <c r="G2" s="611"/>
      <c r="H2" s="611"/>
      <c r="I2" s="611"/>
      <c r="J2" s="611"/>
      <c r="K2" s="611"/>
      <c r="L2" s="611"/>
      <c r="M2" s="611"/>
      <c r="N2" s="611"/>
      <c r="O2" s="611"/>
      <c r="P2" s="611"/>
      <c r="Q2" s="611"/>
      <c r="R2" s="611"/>
      <c r="S2" s="611"/>
      <c r="T2" s="611"/>
      <c r="U2" s="611"/>
      <c r="V2" s="611"/>
      <c r="W2" s="611"/>
      <c r="X2" s="612"/>
      <c r="Y2" s="33"/>
      <c r="Z2" s="33"/>
    </row>
    <row r="3" spans="1:26" ht="64.5" thickBot="1">
      <c r="A3" s="33"/>
      <c r="B3" s="35" t="s">
        <v>1</v>
      </c>
      <c r="C3" s="36" t="s">
        <v>2</v>
      </c>
      <c r="D3" s="35" t="s">
        <v>3</v>
      </c>
      <c r="E3" s="36" t="s">
        <v>4</v>
      </c>
      <c r="F3" s="37" t="s">
        <v>5</v>
      </c>
      <c r="G3" s="37" t="s">
        <v>6</v>
      </c>
      <c r="H3" s="613" t="s">
        <v>7</v>
      </c>
      <c r="I3" s="611"/>
      <c r="J3" s="611"/>
      <c r="K3" s="611"/>
      <c r="L3" s="611"/>
      <c r="M3" s="612"/>
      <c r="N3" s="35" t="s">
        <v>8</v>
      </c>
      <c r="O3" s="36" t="s">
        <v>9</v>
      </c>
      <c r="P3" s="36" t="s">
        <v>10</v>
      </c>
      <c r="Q3" s="36" t="s">
        <v>11</v>
      </c>
      <c r="R3" s="36" t="s">
        <v>12</v>
      </c>
      <c r="S3" s="36" t="s">
        <v>13</v>
      </c>
      <c r="T3" s="36" t="s">
        <v>14</v>
      </c>
      <c r="U3" s="36" t="s">
        <v>15</v>
      </c>
      <c r="V3" s="36" t="s">
        <v>16</v>
      </c>
      <c r="W3" s="37" t="s">
        <v>17</v>
      </c>
      <c r="X3" s="37" t="s">
        <v>18</v>
      </c>
      <c r="Y3" s="33"/>
      <c r="Z3" s="33"/>
    </row>
    <row r="4" spans="1:26" ht="13.5" thickBot="1">
      <c r="A4" s="33"/>
      <c r="B4" s="38"/>
      <c r="C4" s="39"/>
      <c r="D4" s="40"/>
      <c r="E4" s="39"/>
      <c r="F4" s="39"/>
      <c r="G4" s="39"/>
      <c r="H4" s="41" t="s">
        <v>19</v>
      </c>
      <c r="I4" s="42" t="s">
        <v>20</v>
      </c>
      <c r="J4" s="41" t="s">
        <v>21</v>
      </c>
      <c r="K4" s="42" t="s">
        <v>22</v>
      </c>
      <c r="L4" s="41" t="s">
        <v>23</v>
      </c>
      <c r="M4" s="42" t="s">
        <v>24</v>
      </c>
      <c r="N4" s="43"/>
      <c r="O4" s="39"/>
      <c r="P4" s="39"/>
      <c r="Q4" s="39"/>
      <c r="R4" s="39"/>
      <c r="S4" s="39"/>
      <c r="T4" s="44"/>
      <c r="U4" s="39"/>
      <c r="V4" s="39"/>
      <c r="W4" s="39"/>
      <c r="X4" s="39"/>
      <c r="Y4" s="33"/>
      <c r="Z4" s="33"/>
    </row>
    <row r="5" spans="1:26" ht="12.75">
      <c r="A5" s="33"/>
      <c r="B5" s="45" t="s">
        <v>122</v>
      </c>
      <c r="C5" s="46"/>
      <c r="D5" s="46"/>
      <c r="E5" s="46"/>
      <c r="F5" s="46"/>
      <c r="G5" s="46"/>
      <c r="H5" s="46"/>
      <c r="I5" s="46"/>
      <c r="J5" s="46"/>
      <c r="K5" s="46"/>
      <c r="L5" s="46"/>
      <c r="M5" s="47"/>
      <c r="N5" s="33"/>
      <c r="O5" s="33"/>
      <c r="P5" s="33"/>
      <c r="Q5" s="33"/>
      <c r="R5" s="33"/>
      <c r="S5" s="33"/>
      <c r="T5" s="33"/>
      <c r="U5" s="33"/>
      <c r="V5" s="33"/>
      <c r="W5" s="33"/>
      <c r="X5" s="33"/>
      <c r="Y5" s="33"/>
      <c r="Z5" s="33"/>
    </row>
    <row r="6" spans="1:26" ht="75" customHeight="1" thickBot="1">
      <c r="A6" s="33"/>
      <c r="B6" s="48" t="s">
        <v>123</v>
      </c>
      <c r="C6" s="49"/>
      <c r="D6" s="49" t="s">
        <v>124</v>
      </c>
      <c r="E6" s="49"/>
      <c r="F6" s="49" t="s">
        <v>125</v>
      </c>
      <c r="G6" s="50"/>
      <c r="H6" s="50" t="s">
        <v>126</v>
      </c>
      <c r="I6" s="50"/>
      <c r="J6" s="50" t="s">
        <v>126</v>
      </c>
      <c r="K6" s="50"/>
      <c r="L6" s="50" t="s">
        <v>126</v>
      </c>
      <c r="M6" s="50"/>
      <c r="N6" s="50" t="s">
        <v>127</v>
      </c>
      <c r="O6" s="50" t="s">
        <v>63</v>
      </c>
      <c r="P6" s="50"/>
      <c r="Q6" s="50" t="s">
        <v>63</v>
      </c>
      <c r="R6" s="50"/>
      <c r="S6" s="50" t="s">
        <v>128</v>
      </c>
      <c r="T6" s="50"/>
      <c r="U6" s="50" t="s">
        <v>129</v>
      </c>
      <c r="V6" s="51"/>
      <c r="W6" s="50" t="s">
        <v>130</v>
      </c>
      <c r="X6" s="51"/>
      <c r="Y6" s="33"/>
      <c r="Z6" s="33"/>
    </row>
    <row r="7" spans="1:26" ht="75" customHeight="1" thickBot="1">
      <c r="A7" s="52"/>
      <c r="B7" s="53" t="s">
        <v>131</v>
      </c>
      <c r="C7" s="49"/>
      <c r="D7" s="49" t="s">
        <v>132</v>
      </c>
      <c r="E7" s="49"/>
      <c r="F7" s="49" t="s">
        <v>133</v>
      </c>
      <c r="G7" s="54"/>
      <c r="H7" s="55" t="s">
        <v>134</v>
      </c>
      <c r="I7" s="54"/>
      <c r="J7" s="56">
        <v>0</v>
      </c>
      <c r="K7" s="54"/>
      <c r="L7" s="56">
        <v>5</v>
      </c>
      <c r="M7" s="54"/>
      <c r="N7" s="55" t="s">
        <v>135</v>
      </c>
      <c r="O7" s="54" t="s">
        <v>136</v>
      </c>
      <c r="P7" s="54"/>
      <c r="Q7" s="54" t="s">
        <v>136</v>
      </c>
      <c r="R7" s="54"/>
      <c r="S7" s="54" t="s">
        <v>137</v>
      </c>
      <c r="T7" s="54"/>
      <c r="U7" s="54" t="s">
        <v>138</v>
      </c>
      <c r="V7" s="54"/>
      <c r="W7" s="54" t="s">
        <v>139</v>
      </c>
      <c r="X7" s="54"/>
      <c r="Y7" s="33"/>
      <c r="Z7" s="33"/>
    </row>
    <row r="8" spans="1:26" ht="75" customHeight="1" thickBot="1">
      <c r="A8" s="52"/>
      <c r="B8" s="53" t="s">
        <v>131</v>
      </c>
      <c r="C8" s="49"/>
      <c r="D8" s="49" t="s">
        <v>140</v>
      </c>
      <c r="E8" s="49"/>
      <c r="F8" s="49" t="s">
        <v>141</v>
      </c>
      <c r="G8" s="57"/>
      <c r="H8" s="58" t="s">
        <v>134</v>
      </c>
      <c r="I8" s="57"/>
      <c r="J8" s="59">
        <v>0</v>
      </c>
      <c r="K8" s="57"/>
      <c r="L8" s="59">
        <v>5</v>
      </c>
      <c r="M8" s="57"/>
      <c r="N8" s="58" t="s">
        <v>142</v>
      </c>
      <c r="O8" s="57" t="s">
        <v>136</v>
      </c>
      <c r="P8" s="57"/>
      <c r="Q8" s="57" t="s">
        <v>136</v>
      </c>
      <c r="R8" s="57"/>
      <c r="S8" s="57" t="s">
        <v>137</v>
      </c>
      <c r="T8" s="57"/>
      <c r="U8" s="57" t="s">
        <v>138</v>
      </c>
      <c r="V8" s="57"/>
      <c r="W8" s="57" t="s">
        <v>139</v>
      </c>
      <c r="X8" s="57"/>
      <c r="Y8" s="33"/>
      <c r="Z8" s="33"/>
    </row>
    <row r="9" spans="1:26" ht="75" customHeight="1" thickBot="1">
      <c r="A9" s="52"/>
      <c r="B9" s="53" t="s">
        <v>131</v>
      </c>
      <c r="C9" s="49"/>
      <c r="D9" s="49" t="s">
        <v>143</v>
      </c>
      <c r="E9" s="49"/>
      <c r="F9" s="49" t="s">
        <v>126</v>
      </c>
      <c r="G9" s="57"/>
      <c r="H9" s="58" t="s">
        <v>144</v>
      </c>
      <c r="I9" s="57"/>
      <c r="J9" s="59">
        <v>0</v>
      </c>
      <c r="K9" s="57"/>
      <c r="L9" s="59">
        <v>3</v>
      </c>
      <c r="M9" s="57"/>
      <c r="N9" s="58" t="s">
        <v>145</v>
      </c>
      <c r="O9" s="57" t="s">
        <v>146</v>
      </c>
      <c r="P9" s="57"/>
      <c r="Q9" s="57" t="s">
        <v>136</v>
      </c>
      <c r="R9" s="57"/>
      <c r="S9" s="57" t="s">
        <v>147</v>
      </c>
      <c r="T9" s="57"/>
      <c r="U9" s="57" t="s">
        <v>148</v>
      </c>
      <c r="V9" s="57"/>
      <c r="W9" s="57" t="s">
        <v>149</v>
      </c>
      <c r="X9" s="57"/>
      <c r="Y9" s="33"/>
      <c r="Z9" s="33"/>
    </row>
    <row r="10" spans="1:26" ht="75" customHeight="1">
      <c r="A10" s="33"/>
      <c r="B10" s="48" t="s">
        <v>150</v>
      </c>
      <c r="C10" s="49"/>
      <c r="D10" s="49" t="s">
        <v>151</v>
      </c>
      <c r="E10" s="49"/>
      <c r="F10" s="49" t="s">
        <v>152</v>
      </c>
      <c r="G10" s="51"/>
      <c r="H10" s="60" t="s">
        <v>126</v>
      </c>
      <c r="I10" s="51"/>
      <c r="J10" s="60" t="s">
        <v>126</v>
      </c>
      <c r="K10" s="51"/>
      <c r="L10" s="60" t="s">
        <v>126</v>
      </c>
      <c r="M10" s="51"/>
      <c r="N10" s="60" t="s">
        <v>153</v>
      </c>
      <c r="O10" s="51" t="s">
        <v>154</v>
      </c>
      <c r="P10" s="51"/>
      <c r="Q10" s="51" t="s">
        <v>155</v>
      </c>
      <c r="R10" s="51"/>
      <c r="S10" s="51" t="s">
        <v>156</v>
      </c>
      <c r="T10" s="51"/>
      <c r="U10" s="51" t="s">
        <v>157</v>
      </c>
      <c r="V10" s="51"/>
      <c r="W10" s="51" t="s">
        <v>130</v>
      </c>
      <c r="X10" s="51"/>
      <c r="Y10" s="33"/>
      <c r="Z10" s="33"/>
    </row>
    <row r="11" spans="1:26" ht="75" customHeight="1">
      <c r="A11" s="33"/>
      <c r="B11" s="48" t="s">
        <v>150</v>
      </c>
      <c r="C11" s="49"/>
      <c r="D11" s="49" t="s">
        <v>158</v>
      </c>
      <c r="E11" s="49"/>
      <c r="F11" s="49" t="s">
        <v>126</v>
      </c>
      <c r="G11" s="51"/>
      <c r="H11" s="60" t="s">
        <v>159</v>
      </c>
      <c r="I11" s="51"/>
      <c r="J11" s="60">
        <v>5</v>
      </c>
      <c r="K11" s="51"/>
      <c r="L11" s="60">
        <v>15</v>
      </c>
      <c r="M11" s="51"/>
      <c r="N11" s="60" t="s">
        <v>142</v>
      </c>
      <c r="O11" s="51" t="s">
        <v>160</v>
      </c>
      <c r="P11" s="51"/>
      <c r="Q11" s="51" t="s">
        <v>155</v>
      </c>
      <c r="R11" s="51"/>
      <c r="S11" s="51" t="s">
        <v>161</v>
      </c>
      <c r="T11" s="51"/>
      <c r="U11" s="51" t="s">
        <v>162</v>
      </c>
      <c r="V11" s="51"/>
      <c r="W11" s="51" t="s">
        <v>130</v>
      </c>
      <c r="X11" s="51"/>
      <c r="Y11" s="33"/>
      <c r="Z11" s="33"/>
    </row>
    <row r="12" spans="1:26" ht="75" customHeight="1">
      <c r="A12" s="33"/>
      <c r="B12" s="48" t="s">
        <v>163</v>
      </c>
      <c r="C12" s="49"/>
      <c r="D12" s="49" t="s">
        <v>164</v>
      </c>
      <c r="E12" s="49"/>
      <c r="F12" s="49" t="s">
        <v>165</v>
      </c>
      <c r="G12" s="51"/>
      <c r="H12" s="60" t="s">
        <v>126</v>
      </c>
      <c r="I12" s="51"/>
      <c r="J12" s="60" t="s">
        <v>126</v>
      </c>
      <c r="K12" s="51"/>
      <c r="L12" s="60" t="s">
        <v>126</v>
      </c>
      <c r="M12" s="51"/>
      <c r="N12" s="60" t="s">
        <v>127</v>
      </c>
      <c r="O12" s="60" t="s">
        <v>160</v>
      </c>
      <c r="P12" s="60"/>
      <c r="Q12" s="60" t="s">
        <v>166</v>
      </c>
      <c r="R12" s="60"/>
      <c r="S12" s="60" t="s">
        <v>167</v>
      </c>
      <c r="T12" s="51"/>
      <c r="U12" s="51" t="s">
        <v>168</v>
      </c>
      <c r="V12" s="51"/>
      <c r="W12" s="51" t="s">
        <v>130</v>
      </c>
      <c r="X12" s="51"/>
      <c r="Y12" s="33"/>
      <c r="Z12" s="33"/>
    </row>
    <row r="13" spans="1:26" ht="75" customHeight="1">
      <c r="A13" s="33"/>
      <c r="B13" s="48" t="s">
        <v>163</v>
      </c>
      <c r="C13" s="49"/>
      <c r="D13" s="49" t="s">
        <v>169</v>
      </c>
      <c r="E13" s="49"/>
      <c r="F13" s="49" t="s">
        <v>126</v>
      </c>
      <c r="G13" s="51"/>
      <c r="H13" s="60" t="s">
        <v>170</v>
      </c>
      <c r="I13" s="51"/>
      <c r="J13" s="60">
        <v>1</v>
      </c>
      <c r="K13" s="51"/>
      <c r="L13" s="60">
        <v>5</v>
      </c>
      <c r="M13" s="51"/>
      <c r="N13" s="60" t="s">
        <v>171</v>
      </c>
      <c r="O13" s="51" t="s">
        <v>172</v>
      </c>
      <c r="P13" s="51"/>
      <c r="Q13" s="60" t="s">
        <v>166</v>
      </c>
      <c r="R13" s="51"/>
      <c r="S13" s="51" t="s">
        <v>173</v>
      </c>
      <c r="T13" s="51"/>
      <c r="U13" s="51"/>
      <c r="V13" s="51"/>
      <c r="W13" s="51" t="s">
        <v>130</v>
      </c>
      <c r="X13" s="51"/>
      <c r="Y13" s="33"/>
      <c r="Z13" s="33"/>
    </row>
    <row r="14" spans="1:26" ht="75" customHeight="1">
      <c r="A14" s="33"/>
      <c r="B14" s="48" t="s">
        <v>174</v>
      </c>
      <c r="C14" s="49"/>
      <c r="D14" s="49" t="s">
        <v>175</v>
      </c>
      <c r="E14" s="49"/>
      <c r="F14" s="49" t="s">
        <v>126</v>
      </c>
      <c r="G14" s="50"/>
      <c r="H14" s="50" t="s">
        <v>176</v>
      </c>
      <c r="I14" s="50"/>
      <c r="J14" s="50">
        <v>0</v>
      </c>
      <c r="K14" s="50"/>
      <c r="L14" s="50">
        <v>100</v>
      </c>
      <c r="M14" s="50"/>
      <c r="N14" s="50" t="s">
        <v>142</v>
      </c>
      <c r="O14" s="50" t="s">
        <v>177</v>
      </c>
      <c r="P14" s="50"/>
      <c r="Q14" s="50" t="s">
        <v>178</v>
      </c>
      <c r="R14" s="50"/>
      <c r="S14" s="50" t="s">
        <v>179</v>
      </c>
      <c r="T14" s="50"/>
      <c r="U14" s="50" t="s">
        <v>180</v>
      </c>
      <c r="V14" s="51"/>
      <c r="W14" s="50" t="s">
        <v>130</v>
      </c>
      <c r="X14" s="51"/>
      <c r="Y14" s="33"/>
      <c r="Z14" s="33"/>
    </row>
    <row r="15" spans="1:26" ht="75" customHeight="1">
      <c r="A15" s="33"/>
      <c r="B15" s="48" t="s">
        <v>174</v>
      </c>
      <c r="C15" s="49"/>
      <c r="D15" s="49" t="s">
        <v>181</v>
      </c>
      <c r="E15" s="49"/>
      <c r="F15" s="49" t="s">
        <v>126</v>
      </c>
      <c r="G15" s="50"/>
      <c r="H15" s="50" t="s">
        <v>182</v>
      </c>
      <c r="I15" s="50"/>
      <c r="J15" s="50">
        <v>0</v>
      </c>
      <c r="K15" s="50"/>
      <c r="L15" s="50">
        <v>100</v>
      </c>
      <c r="M15" s="50"/>
      <c r="N15" s="50" t="s">
        <v>171</v>
      </c>
      <c r="O15" s="50" t="s">
        <v>177</v>
      </c>
      <c r="P15" s="50"/>
      <c r="Q15" s="50" t="s">
        <v>178</v>
      </c>
      <c r="R15" s="50"/>
      <c r="S15" s="50" t="s">
        <v>183</v>
      </c>
      <c r="T15" s="50"/>
      <c r="U15" s="50" t="s">
        <v>180</v>
      </c>
      <c r="V15" s="51"/>
      <c r="W15" s="50" t="s">
        <v>130</v>
      </c>
      <c r="X15" s="51"/>
      <c r="Y15" s="33"/>
      <c r="Z15" s="33"/>
    </row>
    <row r="16" spans="1:26" ht="37.5" customHeight="1">
      <c r="A16" s="33"/>
      <c r="B16" s="48" t="s">
        <v>184</v>
      </c>
      <c r="C16" s="49"/>
      <c r="D16" s="49" t="s">
        <v>185</v>
      </c>
      <c r="E16" s="49"/>
      <c r="F16" s="49" t="s">
        <v>186</v>
      </c>
      <c r="G16" s="51"/>
      <c r="H16" s="60" t="s">
        <v>126</v>
      </c>
      <c r="I16" s="51"/>
      <c r="J16" s="60" t="s">
        <v>126</v>
      </c>
      <c r="K16" s="51"/>
      <c r="L16" s="60" t="s">
        <v>126</v>
      </c>
      <c r="M16" s="51"/>
      <c r="N16" s="60" t="s">
        <v>153</v>
      </c>
      <c r="O16" s="51" t="s">
        <v>187</v>
      </c>
      <c r="P16" s="51"/>
      <c r="Q16" s="51" t="s">
        <v>155</v>
      </c>
      <c r="R16" s="51"/>
      <c r="S16" s="51" t="s">
        <v>188</v>
      </c>
      <c r="T16" s="51"/>
      <c r="U16" s="51" t="s">
        <v>189</v>
      </c>
      <c r="V16" s="51"/>
      <c r="W16" s="51" t="s">
        <v>130</v>
      </c>
      <c r="X16" s="51"/>
      <c r="Y16" s="33"/>
      <c r="Z16" s="33"/>
    </row>
    <row r="17" spans="1:26" ht="37.5" customHeight="1">
      <c r="A17" s="33"/>
      <c r="B17" s="48" t="s">
        <v>184</v>
      </c>
      <c r="C17" s="49"/>
      <c r="D17" s="49" t="s">
        <v>190</v>
      </c>
      <c r="E17" s="49"/>
      <c r="F17" s="49" t="s">
        <v>191</v>
      </c>
      <c r="G17" s="51"/>
      <c r="H17" s="60" t="s">
        <v>126</v>
      </c>
      <c r="I17" s="51"/>
      <c r="J17" s="60" t="s">
        <v>126</v>
      </c>
      <c r="K17" s="51"/>
      <c r="L17" s="60" t="s">
        <v>126</v>
      </c>
      <c r="M17" s="51"/>
      <c r="N17" s="51" t="s">
        <v>192</v>
      </c>
      <c r="O17" s="51" t="s">
        <v>187</v>
      </c>
      <c r="P17" s="51"/>
      <c r="Q17" s="51" t="s">
        <v>155</v>
      </c>
      <c r="R17" s="51"/>
      <c r="S17" s="51" t="s">
        <v>193</v>
      </c>
      <c r="T17" s="51"/>
      <c r="U17" s="51" t="s">
        <v>194</v>
      </c>
      <c r="V17" s="51"/>
      <c r="W17" s="51" t="s">
        <v>130</v>
      </c>
      <c r="X17" s="51"/>
      <c r="Y17" s="33"/>
      <c r="Z17" s="33"/>
    </row>
    <row r="18" spans="1:26" ht="37.5" customHeight="1">
      <c r="A18" s="33"/>
      <c r="B18" s="48" t="s">
        <v>184</v>
      </c>
      <c r="C18" s="49"/>
      <c r="D18" s="49" t="s">
        <v>195</v>
      </c>
      <c r="E18" s="49"/>
      <c r="F18" s="49" t="s">
        <v>196</v>
      </c>
      <c r="G18" s="51"/>
      <c r="H18" s="60" t="s">
        <v>126</v>
      </c>
      <c r="I18" s="51"/>
      <c r="J18" s="60" t="s">
        <v>126</v>
      </c>
      <c r="K18" s="51"/>
      <c r="L18" s="60" t="s">
        <v>126</v>
      </c>
      <c r="M18" s="51"/>
      <c r="N18" s="60" t="s">
        <v>142</v>
      </c>
      <c r="O18" s="51" t="s">
        <v>187</v>
      </c>
      <c r="P18" s="51"/>
      <c r="Q18" s="51" t="s">
        <v>155</v>
      </c>
      <c r="R18" s="51"/>
      <c r="S18" s="51" t="s">
        <v>197</v>
      </c>
      <c r="T18" s="51"/>
      <c r="U18" s="51" t="s">
        <v>198</v>
      </c>
      <c r="V18" s="51"/>
      <c r="W18" s="51" t="s">
        <v>130</v>
      </c>
      <c r="X18" s="51"/>
      <c r="Y18" s="33"/>
      <c r="Z18" s="33"/>
    </row>
    <row r="19" spans="1:26" ht="37.5" customHeight="1">
      <c r="A19" s="33"/>
      <c r="B19" s="48" t="s">
        <v>184</v>
      </c>
      <c r="C19" s="49"/>
      <c r="D19" s="49" t="s">
        <v>199</v>
      </c>
      <c r="E19" s="49"/>
      <c r="F19" s="49" t="s">
        <v>126</v>
      </c>
      <c r="G19" s="51"/>
      <c r="H19" s="60" t="s">
        <v>200</v>
      </c>
      <c r="I19" s="51"/>
      <c r="J19" s="60">
        <v>0</v>
      </c>
      <c r="K19" s="51"/>
      <c r="L19" s="60">
        <v>500</v>
      </c>
      <c r="M19" s="51"/>
      <c r="N19" s="60" t="s">
        <v>171</v>
      </c>
      <c r="O19" s="51" t="s">
        <v>187</v>
      </c>
      <c r="P19" s="51"/>
      <c r="Q19" s="51" t="s">
        <v>155</v>
      </c>
      <c r="R19" s="51"/>
      <c r="S19" s="51" t="s">
        <v>201</v>
      </c>
      <c r="T19" s="51"/>
      <c r="U19" s="51" t="s">
        <v>202</v>
      </c>
      <c r="V19" s="51"/>
      <c r="W19" s="51" t="s">
        <v>130</v>
      </c>
      <c r="X19" s="51"/>
      <c r="Y19" s="33"/>
      <c r="Z19" s="33"/>
    </row>
    <row r="20" spans="1:26" s="67" customFormat="1" ht="75" customHeight="1">
      <c r="A20" s="61"/>
      <c r="B20" s="62" t="s">
        <v>203</v>
      </c>
      <c r="C20" s="63"/>
      <c r="D20" s="63" t="s">
        <v>204</v>
      </c>
      <c r="E20" s="63"/>
      <c r="F20" s="63" t="s">
        <v>205</v>
      </c>
      <c r="G20" s="64"/>
      <c r="H20" s="64" t="s">
        <v>126</v>
      </c>
      <c r="I20" s="64"/>
      <c r="J20" s="64" t="s">
        <v>126</v>
      </c>
      <c r="K20" s="64"/>
      <c r="L20" s="64" t="s">
        <v>126</v>
      </c>
      <c r="M20" s="64"/>
      <c r="N20" s="64" t="s">
        <v>206</v>
      </c>
      <c r="O20" s="64" t="s">
        <v>63</v>
      </c>
      <c r="P20" s="64"/>
      <c r="Q20" s="64" t="s">
        <v>63</v>
      </c>
      <c r="R20" s="64"/>
      <c r="S20" s="65" t="s">
        <v>207</v>
      </c>
      <c r="T20" s="64"/>
      <c r="U20" s="64" t="s">
        <v>129</v>
      </c>
      <c r="V20" s="66"/>
      <c r="W20" s="64" t="s">
        <v>130</v>
      </c>
      <c r="X20" s="66"/>
      <c r="Y20" s="61"/>
      <c r="Z20" s="61"/>
    </row>
    <row r="21" spans="1:26" ht="22.5" customHeight="1">
      <c r="A21" s="68"/>
      <c r="B21" s="48" t="s">
        <v>208</v>
      </c>
      <c r="C21" s="49"/>
      <c r="D21" s="49" t="s">
        <v>209</v>
      </c>
      <c r="E21" s="49" t="s">
        <v>210</v>
      </c>
      <c r="F21" s="49" t="s">
        <v>211</v>
      </c>
      <c r="G21" s="60" t="s">
        <v>212</v>
      </c>
      <c r="H21" s="60"/>
      <c r="I21" s="60"/>
      <c r="J21" s="60"/>
      <c r="K21" s="60"/>
      <c r="L21" s="60"/>
      <c r="M21" s="60"/>
      <c r="N21" s="60" t="s">
        <v>213</v>
      </c>
      <c r="O21" s="60"/>
      <c r="P21" s="60"/>
      <c r="Q21" s="60" t="s">
        <v>214</v>
      </c>
      <c r="R21" s="60" t="s">
        <v>215</v>
      </c>
      <c r="S21" s="60" t="s">
        <v>216</v>
      </c>
      <c r="T21" s="60" t="s">
        <v>217</v>
      </c>
      <c r="U21" s="69"/>
      <c r="V21" s="69"/>
      <c r="W21" s="69"/>
      <c r="X21" s="69"/>
      <c r="Y21" s="70"/>
      <c r="Z21" s="70"/>
    </row>
    <row r="22" spans="1:26" ht="22.5" customHeight="1" thickBot="1">
      <c r="A22" s="33"/>
      <c r="B22" s="48" t="s">
        <v>208</v>
      </c>
      <c r="C22" s="49"/>
      <c r="D22" s="49" t="s">
        <v>218</v>
      </c>
      <c r="E22" s="49" t="s">
        <v>219</v>
      </c>
      <c r="F22" s="49"/>
      <c r="G22" s="71"/>
      <c r="H22" s="60"/>
      <c r="I22" s="60"/>
      <c r="J22" s="60"/>
      <c r="K22" s="60"/>
      <c r="L22" s="60"/>
      <c r="M22" s="60"/>
      <c r="N22" s="60" t="s">
        <v>213</v>
      </c>
      <c r="O22" s="60"/>
      <c r="P22" s="60"/>
      <c r="Q22" s="60" t="s">
        <v>154</v>
      </c>
      <c r="R22" s="60" t="s">
        <v>220</v>
      </c>
      <c r="S22" s="60" t="s">
        <v>221</v>
      </c>
      <c r="T22" s="71" t="s">
        <v>222</v>
      </c>
      <c r="U22" s="72"/>
      <c r="V22" s="73"/>
      <c r="W22" s="72"/>
      <c r="X22" s="73"/>
      <c r="Y22" s="74"/>
      <c r="Z22" s="74"/>
    </row>
    <row r="23" spans="1:26" ht="22.5" customHeight="1" thickTop="1">
      <c r="A23" s="33"/>
      <c r="B23" s="48" t="s">
        <v>208</v>
      </c>
      <c r="C23" s="49"/>
      <c r="D23" s="49" t="s">
        <v>223</v>
      </c>
      <c r="E23" s="49" t="s">
        <v>224</v>
      </c>
      <c r="F23" s="49" t="s">
        <v>225</v>
      </c>
      <c r="G23" s="75" t="s">
        <v>226</v>
      </c>
      <c r="H23" s="60" t="s">
        <v>227</v>
      </c>
      <c r="I23" s="60" t="s">
        <v>228</v>
      </c>
      <c r="J23" s="60"/>
      <c r="K23" s="60"/>
      <c r="L23" s="60" t="s">
        <v>229</v>
      </c>
      <c r="M23" s="60" t="s">
        <v>230</v>
      </c>
      <c r="N23" s="60" t="s">
        <v>231</v>
      </c>
      <c r="O23" s="60"/>
      <c r="P23" s="60"/>
      <c r="Q23" s="60" t="s">
        <v>214</v>
      </c>
      <c r="R23" s="60" t="s">
        <v>215</v>
      </c>
      <c r="S23" s="60" t="s">
        <v>232</v>
      </c>
      <c r="T23" s="75" t="s">
        <v>233</v>
      </c>
      <c r="U23" s="72"/>
      <c r="V23" s="73"/>
      <c r="W23" s="72"/>
      <c r="X23" s="73"/>
      <c r="Y23" s="74"/>
      <c r="Z23" s="74"/>
    </row>
    <row r="24" spans="1:26" ht="22.5" customHeight="1">
      <c r="A24" s="33"/>
      <c r="B24" s="48" t="s">
        <v>208</v>
      </c>
      <c r="C24" s="49"/>
      <c r="D24" s="49" t="s">
        <v>234</v>
      </c>
      <c r="E24" s="49" t="s">
        <v>235</v>
      </c>
      <c r="F24" s="49" t="s">
        <v>236</v>
      </c>
      <c r="G24" s="60" t="s">
        <v>237</v>
      </c>
      <c r="H24" s="60"/>
      <c r="I24" s="60"/>
      <c r="J24" s="60"/>
      <c r="K24" s="60"/>
      <c r="L24" s="60"/>
      <c r="M24" s="60"/>
      <c r="N24" s="60" t="s">
        <v>231</v>
      </c>
      <c r="O24" s="60"/>
      <c r="P24" s="60"/>
      <c r="Q24" s="60" t="s">
        <v>238</v>
      </c>
      <c r="R24" s="60" t="s">
        <v>239</v>
      </c>
      <c r="S24" s="60" t="s">
        <v>240</v>
      </c>
      <c r="T24" s="60" t="s">
        <v>241</v>
      </c>
      <c r="U24" s="72"/>
      <c r="V24" s="73"/>
      <c r="W24" s="72"/>
      <c r="X24" s="73"/>
      <c r="Y24" s="74"/>
      <c r="Z24" s="74"/>
    </row>
    <row r="25" spans="1:26" ht="22.5" customHeight="1">
      <c r="A25" s="33"/>
      <c r="B25" s="48" t="s">
        <v>208</v>
      </c>
      <c r="C25" s="49"/>
      <c r="D25" s="49" t="s">
        <v>242</v>
      </c>
      <c r="E25" s="49" t="s">
        <v>243</v>
      </c>
      <c r="F25" s="49" t="s">
        <v>244</v>
      </c>
      <c r="G25" s="60" t="s">
        <v>245</v>
      </c>
      <c r="H25" s="60" t="s">
        <v>246</v>
      </c>
      <c r="I25" s="60" t="s">
        <v>247</v>
      </c>
      <c r="J25" s="60"/>
      <c r="K25" s="60"/>
      <c r="L25" s="60" t="s">
        <v>248</v>
      </c>
      <c r="M25" s="60" t="s">
        <v>249</v>
      </c>
      <c r="N25" s="60" t="s">
        <v>231</v>
      </c>
      <c r="O25" s="60"/>
      <c r="P25" s="60"/>
      <c r="Q25" s="60" t="s">
        <v>214</v>
      </c>
      <c r="R25" s="60" t="s">
        <v>215</v>
      </c>
      <c r="S25" s="60" t="s">
        <v>250</v>
      </c>
      <c r="T25" s="60" t="s">
        <v>251</v>
      </c>
      <c r="U25" s="72"/>
      <c r="V25" s="73"/>
      <c r="W25" s="72"/>
      <c r="X25" s="73"/>
      <c r="Y25" s="74"/>
      <c r="Z25" s="74"/>
    </row>
    <row r="26" spans="1:26" ht="22.5" customHeight="1" thickBot="1">
      <c r="A26" s="33"/>
      <c r="B26" s="48" t="s">
        <v>208</v>
      </c>
      <c r="C26" s="49"/>
      <c r="D26" s="49" t="s">
        <v>252</v>
      </c>
      <c r="E26" s="49" t="s">
        <v>253</v>
      </c>
      <c r="F26" s="49"/>
      <c r="G26" s="71"/>
      <c r="H26" s="60"/>
      <c r="I26" s="60"/>
      <c r="J26" s="60"/>
      <c r="K26" s="60"/>
      <c r="L26" s="60"/>
      <c r="M26" s="60"/>
      <c r="N26" s="60" t="s">
        <v>254</v>
      </c>
      <c r="O26" s="60"/>
      <c r="P26" s="60"/>
      <c r="Q26" s="60" t="s">
        <v>238</v>
      </c>
      <c r="R26" s="60" t="s">
        <v>239</v>
      </c>
      <c r="S26" s="60"/>
      <c r="T26" s="71"/>
      <c r="U26" s="72"/>
      <c r="V26" s="73"/>
      <c r="W26" s="72"/>
      <c r="X26" s="73"/>
      <c r="Y26" s="74"/>
      <c r="Z26" s="74"/>
    </row>
    <row r="27" spans="1:26" ht="22.5" customHeight="1" thickTop="1">
      <c r="A27" s="33"/>
      <c r="B27" s="48" t="s">
        <v>208</v>
      </c>
      <c r="C27" s="49"/>
      <c r="D27" s="49" t="s">
        <v>255</v>
      </c>
      <c r="E27" s="49" t="s">
        <v>256</v>
      </c>
      <c r="F27" s="49" t="s">
        <v>225</v>
      </c>
      <c r="G27" s="75" t="s">
        <v>226</v>
      </c>
      <c r="H27" s="60" t="s">
        <v>257</v>
      </c>
      <c r="I27" s="60" t="s">
        <v>258</v>
      </c>
      <c r="J27" s="60"/>
      <c r="K27" s="60"/>
      <c r="L27" s="60" t="s">
        <v>259</v>
      </c>
      <c r="M27" s="60" t="s">
        <v>260</v>
      </c>
      <c r="N27" s="60" t="s">
        <v>261</v>
      </c>
      <c r="O27" s="60"/>
      <c r="P27" s="60"/>
      <c r="Q27" s="60" t="s">
        <v>214</v>
      </c>
      <c r="R27" s="60" t="s">
        <v>215</v>
      </c>
      <c r="S27" s="60" t="s">
        <v>232</v>
      </c>
      <c r="T27" s="75" t="s">
        <v>233</v>
      </c>
      <c r="U27" s="72"/>
      <c r="V27" s="73"/>
      <c r="W27" s="72"/>
      <c r="X27" s="73"/>
      <c r="Y27" s="74"/>
      <c r="Z27" s="74"/>
    </row>
    <row r="28" spans="1:26" ht="22.5" customHeight="1">
      <c r="A28" s="33"/>
      <c r="B28" s="48" t="s">
        <v>208</v>
      </c>
      <c r="C28" s="49"/>
      <c r="D28" s="49" t="s">
        <v>262</v>
      </c>
      <c r="E28" s="49" t="s">
        <v>263</v>
      </c>
      <c r="F28" s="49" t="s">
        <v>236</v>
      </c>
      <c r="G28" s="60" t="s">
        <v>237</v>
      </c>
      <c r="H28" s="60"/>
      <c r="I28" s="60"/>
      <c r="J28" s="60"/>
      <c r="K28" s="60"/>
      <c r="L28" s="60"/>
      <c r="M28" s="60"/>
      <c r="N28" s="60" t="s">
        <v>264</v>
      </c>
      <c r="O28" s="60"/>
      <c r="P28" s="60"/>
      <c r="Q28" s="60" t="s">
        <v>238</v>
      </c>
      <c r="R28" s="60" t="s">
        <v>239</v>
      </c>
      <c r="S28" s="60" t="s">
        <v>265</v>
      </c>
      <c r="T28" s="60" t="s">
        <v>266</v>
      </c>
      <c r="U28" s="72"/>
      <c r="V28" s="73"/>
      <c r="W28" s="72"/>
      <c r="X28" s="73"/>
      <c r="Y28" s="74"/>
      <c r="Z28" s="74"/>
    </row>
    <row r="29" spans="1:26" ht="22.5" customHeight="1">
      <c r="A29" s="33"/>
      <c r="B29" s="48" t="s">
        <v>208</v>
      </c>
      <c r="C29" s="49"/>
      <c r="D29" s="49" t="s">
        <v>267</v>
      </c>
      <c r="E29" s="49" t="s">
        <v>268</v>
      </c>
      <c r="F29" s="49" t="s">
        <v>244</v>
      </c>
      <c r="G29" s="60" t="s">
        <v>245</v>
      </c>
      <c r="H29" s="60" t="s">
        <v>246</v>
      </c>
      <c r="I29" s="60" t="s">
        <v>247</v>
      </c>
      <c r="J29" s="60"/>
      <c r="K29" s="60"/>
      <c r="L29" s="60" t="s">
        <v>248</v>
      </c>
      <c r="M29" s="60" t="s">
        <v>249</v>
      </c>
      <c r="N29" s="60" t="s">
        <v>264</v>
      </c>
      <c r="O29" s="60"/>
      <c r="P29" s="60"/>
      <c r="Q29" s="60" t="s">
        <v>214</v>
      </c>
      <c r="R29" s="60" t="s">
        <v>215</v>
      </c>
      <c r="S29" s="60" t="s">
        <v>269</v>
      </c>
      <c r="T29" s="60" t="s">
        <v>270</v>
      </c>
      <c r="U29" s="72"/>
      <c r="V29" s="73"/>
      <c r="W29" s="72"/>
      <c r="X29" s="73"/>
      <c r="Y29" s="74"/>
      <c r="Z29" s="74"/>
    </row>
    <row r="30" spans="1:26" ht="22.5" customHeight="1" thickBot="1">
      <c r="A30" s="33"/>
      <c r="B30" s="48" t="s">
        <v>208</v>
      </c>
      <c r="C30" s="49"/>
      <c r="D30" s="49" t="s">
        <v>271</v>
      </c>
      <c r="E30" s="49" t="s">
        <v>272</v>
      </c>
      <c r="F30" s="49"/>
      <c r="G30" s="71"/>
      <c r="H30" s="60"/>
      <c r="I30" s="60"/>
      <c r="J30" s="60"/>
      <c r="K30" s="60"/>
      <c r="L30" s="60"/>
      <c r="M30" s="60"/>
      <c r="N30" s="60" t="s">
        <v>273</v>
      </c>
      <c r="O30" s="60"/>
      <c r="P30" s="60"/>
      <c r="Q30" s="60" t="s">
        <v>238</v>
      </c>
      <c r="R30" s="60" t="s">
        <v>239</v>
      </c>
      <c r="S30" s="60"/>
      <c r="T30" s="71"/>
      <c r="U30" s="72"/>
      <c r="V30" s="73"/>
      <c r="W30" s="72"/>
      <c r="X30" s="73"/>
      <c r="Y30" s="74"/>
      <c r="Z30" s="74"/>
    </row>
    <row r="31" spans="1:26" ht="22.5" customHeight="1" thickTop="1">
      <c r="A31" s="33"/>
      <c r="B31" s="48" t="s">
        <v>208</v>
      </c>
      <c r="C31" s="49"/>
      <c r="D31" s="49" t="s">
        <v>274</v>
      </c>
      <c r="E31" s="49" t="s">
        <v>275</v>
      </c>
      <c r="F31" s="49" t="s">
        <v>225</v>
      </c>
      <c r="G31" s="75" t="s">
        <v>226</v>
      </c>
      <c r="H31" s="60" t="s">
        <v>257</v>
      </c>
      <c r="I31" s="60" t="s">
        <v>258</v>
      </c>
      <c r="J31" s="60"/>
      <c r="K31" s="60"/>
      <c r="L31" s="60" t="s">
        <v>259</v>
      </c>
      <c r="M31" s="60" t="s">
        <v>260</v>
      </c>
      <c r="N31" s="60" t="s">
        <v>261</v>
      </c>
      <c r="O31" s="60"/>
      <c r="P31" s="60"/>
      <c r="Q31" s="60" t="s">
        <v>276</v>
      </c>
      <c r="R31" s="60" t="s">
        <v>277</v>
      </c>
      <c r="S31" s="60" t="s">
        <v>278</v>
      </c>
      <c r="T31" s="75" t="s">
        <v>279</v>
      </c>
      <c r="U31" s="72"/>
      <c r="V31" s="73"/>
      <c r="W31" s="72"/>
      <c r="X31" s="73"/>
      <c r="Y31" s="74"/>
      <c r="Z31" s="74"/>
    </row>
    <row r="32" spans="1:26" ht="22.5" customHeight="1">
      <c r="A32" s="33"/>
      <c r="B32" s="48" t="s">
        <v>208</v>
      </c>
      <c r="C32" s="49"/>
      <c r="D32" s="49" t="s">
        <v>280</v>
      </c>
      <c r="E32" s="49" t="s">
        <v>281</v>
      </c>
      <c r="F32" s="49" t="s">
        <v>236</v>
      </c>
      <c r="G32" s="60" t="s">
        <v>237</v>
      </c>
      <c r="H32" s="60"/>
      <c r="I32" s="60"/>
      <c r="J32" s="60"/>
      <c r="K32" s="60"/>
      <c r="L32" s="60"/>
      <c r="M32" s="60"/>
      <c r="N32" s="60" t="s">
        <v>264</v>
      </c>
      <c r="O32" s="60"/>
      <c r="P32" s="60"/>
      <c r="Q32" s="60" t="s">
        <v>282</v>
      </c>
      <c r="R32" s="60" t="s">
        <v>282</v>
      </c>
      <c r="S32" s="60" t="s">
        <v>265</v>
      </c>
      <c r="T32" s="60" t="s">
        <v>266</v>
      </c>
      <c r="U32" s="72"/>
      <c r="V32" s="73"/>
      <c r="W32" s="72"/>
      <c r="X32" s="73"/>
      <c r="Y32" s="74"/>
      <c r="Z32" s="74"/>
    </row>
    <row r="33" spans="1:26" ht="22.5" customHeight="1">
      <c r="A33" s="33"/>
      <c r="B33" s="48" t="s">
        <v>208</v>
      </c>
      <c r="C33" s="49"/>
      <c r="D33" s="49" t="s">
        <v>283</v>
      </c>
      <c r="E33" s="49" t="s">
        <v>284</v>
      </c>
      <c r="F33" s="49" t="s">
        <v>244</v>
      </c>
      <c r="G33" s="60" t="s">
        <v>245</v>
      </c>
      <c r="H33" s="60" t="s">
        <v>246</v>
      </c>
      <c r="I33" s="60" t="s">
        <v>247</v>
      </c>
      <c r="J33" s="60"/>
      <c r="K33" s="60"/>
      <c r="L33" s="60" t="s">
        <v>248</v>
      </c>
      <c r="M33" s="60" t="s">
        <v>249</v>
      </c>
      <c r="N33" s="60" t="s">
        <v>264</v>
      </c>
      <c r="O33" s="60"/>
      <c r="P33" s="60"/>
      <c r="Q33" s="60" t="s">
        <v>63</v>
      </c>
      <c r="R33" s="60" t="s">
        <v>277</v>
      </c>
      <c r="S33" s="60" t="s">
        <v>269</v>
      </c>
      <c r="T33" s="60" t="s">
        <v>270</v>
      </c>
      <c r="U33" s="72"/>
      <c r="V33" s="73"/>
      <c r="W33" s="72"/>
      <c r="X33" s="73"/>
      <c r="Y33" s="74"/>
      <c r="Z33" s="74"/>
    </row>
    <row r="34" spans="1:26" ht="22.5" customHeight="1" thickBot="1">
      <c r="A34" s="33"/>
      <c r="B34" s="48" t="s">
        <v>208</v>
      </c>
      <c r="C34" s="49"/>
      <c r="D34" s="49" t="s">
        <v>285</v>
      </c>
      <c r="E34" s="49" t="s">
        <v>286</v>
      </c>
      <c r="F34" s="49"/>
      <c r="G34" s="71"/>
      <c r="H34" s="60"/>
      <c r="I34" s="60"/>
      <c r="J34" s="60"/>
      <c r="K34" s="60"/>
      <c r="L34" s="60"/>
      <c r="M34" s="60"/>
      <c r="N34" s="60" t="s">
        <v>273</v>
      </c>
      <c r="O34" s="60"/>
      <c r="P34" s="60"/>
      <c r="Q34" s="60" t="s">
        <v>282</v>
      </c>
      <c r="R34" s="60" t="s">
        <v>282</v>
      </c>
      <c r="S34" s="60"/>
      <c r="T34" s="71"/>
      <c r="U34" s="72"/>
      <c r="V34" s="73"/>
      <c r="W34" s="72"/>
      <c r="X34" s="73"/>
      <c r="Y34" s="74"/>
      <c r="Z34" s="74"/>
    </row>
    <row r="35" spans="1:26" ht="22.5" customHeight="1" thickTop="1">
      <c r="A35" s="33"/>
      <c r="B35" s="48" t="s">
        <v>208</v>
      </c>
      <c r="C35" s="49"/>
      <c r="D35" s="49" t="s">
        <v>287</v>
      </c>
      <c r="E35" s="49" t="s">
        <v>288</v>
      </c>
      <c r="F35" s="49"/>
      <c r="G35" s="76"/>
      <c r="H35" s="60" t="s">
        <v>144</v>
      </c>
      <c r="I35" s="60" t="s">
        <v>289</v>
      </c>
      <c r="J35" s="60">
        <v>0</v>
      </c>
      <c r="K35" s="60"/>
      <c r="L35" s="60">
        <v>10</v>
      </c>
      <c r="M35" s="60"/>
      <c r="N35" s="60" t="s">
        <v>290</v>
      </c>
      <c r="O35" s="60"/>
      <c r="P35" s="60"/>
      <c r="Q35" s="60" t="s">
        <v>214</v>
      </c>
      <c r="R35" s="60" t="s">
        <v>215</v>
      </c>
      <c r="S35" s="60"/>
      <c r="T35" s="76"/>
      <c r="U35" s="72"/>
      <c r="V35" s="73"/>
      <c r="W35" s="72"/>
      <c r="X35" s="73"/>
      <c r="Y35" s="74"/>
      <c r="Z35" s="74"/>
    </row>
    <row r="36" spans="1:26" ht="22.5" customHeight="1">
      <c r="A36" s="33"/>
      <c r="B36" s="48" t="s">
        <v>208</v>
      </c>
      <c r="C36" s="49"/>
      <c r="D36" s="49" t="s">
        <v>291</v>
      </c>
      <c r="E36" s="49" t="s">
        <v>292</v>
      </c>
      <c r="F36" s="49"/>
      <c r="G36" s="76"/>
      <c r="H36" s="60" t="s">
        <v>144</v>
      </c>
      <c r="I36" s="60" t="s">
        <v>289</v>
      </c>
      <c r="J36" s="60">
        <v>0</v>
      </c>
      <c r="K36" s="60"/>
      <c r="L36" s="60">
        <v>30</v>
      </c>
      <c r="M36" s="60"/>
      <c r="N36" s="60" t="s">
        <v>293</v>
      </c>
      <c r="O36" s="60"/>
      <c r="P36" s="60"/>
      <c r="Q36" s="60" t="s">
        <v>214</v>
      </c>
      <c r="R36" s="60" t="s">
        <v>215</v>
      </c>
      <c r="S36" s="60"/>
      <c r="T36" s="76"/>
      <c r="U36" s="72"/>
      <c r="V36" s="73"/>
      <c r="W36" s="72"/>
      <c r="X36" s="73"/>
      <c r="Y36" s="74"/>
      <c r="Z36" s="74"/>
    </row>
    <row r="37" spans="1:26" ht="22.5" customHeight="1">
      <c r="B37" s="48" t="s">
        <v>208</v>
      </c>
      <c r="C37" s="49"/>
      <c r="D37" s="49" t="s">
        <v>294</v>
      </c>
      <c r="E37" s="49" t="s">
        <v>295</v>
      </c>
      <c r="F37" s="49"/>
      <c r="G37" s="76"/>
      <c r="H37" s="60" t="s">
        <v>144</v>
      </c>
      <c r="I37" s="60" t="s">
        <v>289</v>
      </c>
      <c r="J37" s="60">
        <v>0</v>
      </c>
      <c r="K37" s="60"/>
      <c r="L37" s="60">
        <v>10</v>
      </c>
      <c r="M37" s="60"/>
      <c r="N37" s="60" t="s">
        <v>293</v>
      </c>
      <c r="O37" s="60"/>
      <c r="P37" s="60"/>
      <c r="Q37" s="60" t="s">
        <v>63</v>
      </c>
      <c r="R37" s="60" t="s">
        <v>277</v>
      </c>
      <c r="S37" s="60"/>
      <c r="T37" s="76"/>
      <c r="U37" s="77"/>
      <c r="V37" s="77"/>
      <c r="W37" s="77"/>
      <c r="X37" s="77"/>
      <c r="Y37" s="78"/>
      <c r="Z37" s="78"/>
    </row>
    <row r="38" spans="1:26" ht="51">
      <c r="B38" s="48" t="s">
        <v>296</v>
      </c>
      <c r="C38" s="49"/>
      <c r="D38" s="49" t="s">
        <v>297</v>
      </c>
      <c r="E38" s="49"/>
      <c r="F38" s="49" t="s">
        <v>298</v>
      </c>
      <c r="G38" s="76"/>
      <c r="H38" s="60" t="s">
        <v>126</v>
      </c>
      <c r="I38" s="60"/>
      <c r="J38" s="60" t="s">
        <v>126</v>
      </c>
      <c r="K38" s="60"/>
      <c r="L38" s="60" t="s">
        <v>126</v>
      </c>
      <c r="M38" s="60"/>
      <c r="N38" s="60" t="s">
        <v>299</v>
      </c>
      <c r="O38" s="51" t="s">
        <v>300</v>
      </c>
      <c r="P38" s="60"/>
      <c r="Q38" s="60" t="s">
        <v>63</v>
      </c>
      <c r="R38" s="60"/>
      <c r="S38" s="60" t="s">
        <v>301</v>
      </c>
      <c r="T38" s="76"/>
      <c r="U38" s="51" t="s">
        <v>302</v>
      </c>
      <c r="V38" s="77"/>
      <c r="W38" s="51" t="s">
        <v>130</v>
      </c>
      <c r="X38" s="77"/>
      <c r="Y38" s="78"/>
      <c r="Z38" s="78"/>
    </row>
    <row r="39" spans="1:26" ht="75" customHeight="1">
      <c r="A39" s="33"/>
      <c r="B39" s="48" t="s">
        <v>303</v>
      </c>
      <c r="C39" s="49"/>
      <c r="D39" s="49" t="s">
        <v>304</v>
      </c>
      <c r="E39" s="49"/>
      <c r="F39" s="49" t="s">
        <v>305</v>
      </c>
      <c r="G39" s="51"/>
      <c r="H39" s="60" t="s">
        <v>126</v>
      </c>
      <c r="I39" s="51"/>
      <c r="J39" s="60" t="s">
        <v>126</v>
      </c>
      <c r="K39" s="51"/>
      <c r="L39" s="60" t="s">
        <v>126</v>
      </c>
      <c r="M39" s="51"/>
      <c r="N39" s="60" t="s">
        <v>135</v>
      </c>
      <c r="O39" s="51" t="s">
        <v>300</v>
      </c>
      <c r="P39" s="51"/>
      <c r="Q39" s="51" t="s">
        <v>300</v>
      </c>
      <c r="R39" s="51"/>
      <c r="S39" s="51" t="s">
        <v>306</v>
      </c>
      <c r="T39" s="51"/>
      <c r="U39" s="51" t="s">
        <v>307</v>
      </c>
      <c r="V39" s="51"/>
      <c r="W39" s="51" t="s">
        <v>130</v>
      </c>
      <c r="X39" s="51"/>
      <c r="Y39" s="33"/>
      <c r="Z39" s="33"/>
    </row>
    <row r="40" spans="1:26" ht="75" customHeight="1">
      <c r="A40" s="33"/>
      <c r="B40" s="48" t="s">
        <v>303</v>
      </c>
      <c r="C40" s="49"/>
      <c r="D40" s="49" t="s">
        <v>308</v>
      </c>
      <c r="E40" s="49"/>
      <c r="F40" s="49" t="s">
        <v>126</v>
      </c>
      <c r="G40" s="51"/>
      <c r="H40" s="60" t="s">
        <v>309</v>
      </c>
      <c r="I40" s="51"/>
      <c r="J40" s="60">
        <v>60</v>
      </c>
      <c r="K40" s="51"/>
      <c r="L40" s="60">
        <v>180</v>
      </c>
      <c r="M40" s="51"/>
      <c r="N40" s="60" t="s">
        <v>171</v>
      </c>
      <c r="O40" s="51" t="s">
        <v>300</v>
      </c>
      <c r="P40" s="51"/>
      <c r="Q40" s="51" t="s">
        <v>300</v>
      </c>
      <c r="R40" s="51"/>
      <c r="S40" s="51" t="s">
        <v>310</v>
      </c>
      <c r="T40" s="51"/>
      <c r="U40" s="51" t="s">
        <v>307</v>
      </c>
      <c r="V40" s="51"/>
      <c r="W40" s="51" t="s">
        <v>130</v>
      </c>
      <c r="X40" s="51"/>
      <c r="Y40" s="33"/>
      <c r="Z40" s="33"/>
    </row>
    <row r="41" spans="1:26" ht="75" customHeight="1">
      <c r="A41" s="33"/>
      <c r="B41" s="48" t="s">
        <v>303</v>
      </c>
      <c r="C41" s="49"/>
      <c r="D41" s="49" t="s">
        <v>311</v>
      </c>
      <c r="E41" s="49"/>
      <c r="F41" s="49" t="s">
        <v>126</v>
      </c>
      <c r="G41" s="51"/>
      <c r="H41" s="60" t="s">
        <v>309</v>
      </c>
      <c r="I41" s="51"/>
      <c r="J41" s="60">
        <v>180</v>
      </c>
      <c r="K41" s="51"/>
      <c r="L41" s="60">
        <v>300</v>
      </c>
      <c r="M41" s="51"/>
      <c r="N41" s="60" t="s">
        <v>312</v>
      </c>
      <c r="O41" s="51" t="s">
        <v>300</v>
      </c>
      <c r="P41" s="51"/>
      <c r="Q41" s="51" t="s">
        <v>300</v>
      </c>
      <c r="R41" s="51"/>
      <c r="S41" s="51" t="s">
        <v>310</v>
      </c>
      <c r="T41" s="51"/>
      <c r="U41" s="51" t="s">
        <v>307</v>
      </c>
      <c r="V41" s="51"/>
      <c r="W41" s="51" t="s">
        <v>130</v>
      </c>
      <c r="X41" s="51"/>
      <c r="Y41" s="33"/>
      <c r="Z41" s="33"/>
    </row>
    <row r="42" spans="1:26" ht="84.75" customHeight="1">
      <c r="B42" s="48" t="s">
        <v>313</v>
      </c>
      <c r="C42" s="49"/>
      <c r="D42" s="49" t="s">
        <v>314</v>
      </c>
      <c r="E42" s="49" t="s">
        <v>315</v>
      </c>
      <c r="F42" s="49" t="s">
        <v>316</v>
      </c>
      <c r="G42" s="60" t="s">
        <v>317</v>
      </c>
      <c r="H42" s="60" t="s">
        <v>144</v>
      </c>
      <c r="I42" s="79" t="s">
        <v>318</v>
      </c>
      <c r="J42" s="60">
        <v>0</v>
      </c>
      <c r="K42" s="79">
        <v>0</v>
      </c>
      <c r="L42" s="60" t="s">
        <v>319</v>
      </c>
      <c r="M42" s="60" t="s">
        <v>319</v>
      </c>
      <c r="N42" s="80">
        <v>45261</v>
      </c>
      <c r="O42" s="79" t="s">
        <v>63</v>
      </c>
      <c r="P42" s="79" t="s">
        <v>320</v>
      </c>
      <c r="Q42" s="79" t="s">
        <v>320</v>
      </c>
      <c r="R42" s="60" t="s">
        <v>321</v>
      </c>
      <c r="S42" s="60" t="s">
        <v>322</v>
      </c>
      <c r="T42" s="60" t="s">
        <v>323</v>
      </c>
      <c r="U42" s="60" t="s">
        <v>324</v>
      </c>
      <c r="V42" s="60" t="s">
        <v>325</v>
      </c>
      <c r="W42" s="60" t="s">
        <v>326</v>
      </c>
      <c r="X42" s="60" t="s">
        <v>327</v>
      </c>
    </row>
    <row r="43" spans="1:26" ht="75" customHeight="1">
      <c r="A43" s="33"/>
      <c r="B43" s="48" t="s">
        <v>328</v>
      </c>
      <c r="C43" s="49"/>
      <c r="D43" s="49" t="s">
        <v>329</v>
      </c>
      <c r="E43" s="49"/>
      <c r="F43" s="49" t="s">
        <v>330</v>
      </c>
      <c r="G43" s="51"/>
      <c r="H43" s="60" t="s">
        <v>126</v>
      </c>
      <c r="I43" s="51"/>
      <c r="J43" s="60" t="s">
        <v>126</v>
      </c>
      <c r="K43" s="51"/>
      <c r="L43" s="60" t="s">
        <v>126</v>
      </c>
      <c r="M43" s="51"/>
      <c r="N43" s="51" t="s">
        <v>135</v>
      </c>
      <c r="O43" s="51" t="s">
        <v>331</v>
      </c>
      <c r="P43" s="51"/>
      <c r="Q43" s="51" t="s">
        <v>332</v>
      </c>
      <c r="R43" s="51"/>
      <c r="S43" s="51" t="s">
        <v>333</v>
      </c>
      <c r="T43" s="51"/>
      <c r="U43" s="51" t="s">
        <v>334</v>
      </c>
      <c r="V43" s="51"/>
      <c r="W43" s="51" t="s">
        <v>130</v>
      </c>
      <c r="X43" s="51"/>
      <c r="Y43" s="33"/>
      <c r="Z43" s="33"/>
    </row>
    <row r="44" spans="1:26" ht="75" customHeight="1">
      <c r="A44" s="33"/>
      <c r="B44" s="48" t="s">
        <v>328</v>
      </c>
      <c r="C44" s="49"/>
      <c r="D44" s="49" t="s">
        <v>335</v>
      </c>
      <c r="E44" s="49"/>
      <c r="F44" s="49" t="s">
        <v>336</v>
      </c>
      <c r="G44" s="51"/>
      <c r="H44" s="60" t="s">
        <v>126</v>
      </c>
      <c r="I44" s="51"/>
      <c r="J44" s="60" t="s">
        <v>126</v>
      </c>
      <c r="K44" s="51"/>
      <c r="L44" s="60" t="s">
        <v>126</v>
      </c>
      <c r="M44" s="51"/>
      <c r="N44" s="60" t="s">
        <v>171</v>
      </c>
      <c r="O44" s="51" t="s">
        <v>331</v>
      </c>
      <c r="P44" s="51"/>
      <c r="Q44" s="51" t="s">
        <v>332</v>
      </c>
      <c r="R44" s="51"/>
      <c r="S44" s="51" t="s">
        <v>337</v>
      </c>
      <c r="T44" s="51"/>
      <c r="U44" s="51" t="s">
        <v>334</v>
      </c>
      <c r="V44" s="51"/>
      <c r="W44" s="51" t="s">
        <v>130</v>
      </c>
      <c r="X44" s="51"/>
      <c r="Y44" s="33"/>
      <c r="Z44" s="33"/>
    </row>
    <row r="45" spans="1:26" ht="75" customHeight="1">
      <c r="A45" s="33"/>
      <c r="B45" s="48" t="s">
        <v>328</v>
      </c>
      <c r="C45" s="49"/>
      <c r="D45" s="49" t="s">
        <v>338</v>
      </c>
      <c r="E45" s="49"/>
      <c r="F45" s="49" t="s">
        <v>339</v>
      </c>
      <c r="G45" s="51"/>
      <c r="H45" s="60" t="s">
        <v>126</v>
      </c>
      <c r="I45" s="51"/>
      <c r="J45" s="60" t="s">
        <v>126</v>
      </c>
      <c r="K45" s="51"/>
      <c r="L45" s="60" t="s">
        <v>126</v>
      </c>
      <c r="M45" s="51"/>
      <c r="N45" s="51" t="s">
        <v>340</v>
      </c>
      <c r="O45" s="51" t="s">
        <v>331</v>
      </c>
      <c r="P45" s="51"/>
      <c r="Q45" s="51" t="s">
        <v>332</v>
      </c>
      <c r="R45" s="51"/>
      <c r="S45" s="51" t="s">
        <v>341</v>
      </c>
      <c r="T45" s="51"/>
      <c r="U45" s="51" t="s">
        <v>342</v>
      </c>
      <c r="V45" s="51"/>
      <c r="W45" s="51" t="s">
        <v>130</v>
      </c>
      <c r="X45" s="51"/>
      <c r="Y45" s="33"/>
      <c r="Z45" s="33"/>
    </row>
    <row r="46" spans="1:26" ht="75" customHeight="1">
      <c r="A46" s="33"/>
      <c r="B46" s="48" t="s">
        <v>328</v>
      </c>
      <c r="C46" s="49"/>
      <c r="D46" s="49" t="s">
        <v>343</v>
      </c>
      <c r="E46" s="49"/>
      <c r="F46" s="49" t="s">
        <v>126</v>
      </c>
      <c r="G46" s="51"/>
      <c r="H46" s="60" t="s">
        <v>344</v>
      </c>
      <c r="I46" s="51"/>
      <c r="J46" s="60">
        <v>0</v>
      </c>
      <c r="K46" s="51"/>
      <c r="L46" s="60">
        <v>200</v>
      </c>
      <c r="M46" s="51"/>
      <c r="N46" s="60" t="s">
        <v>171</v>
      </c>
      <c r="O46" s="51" t="s">
        <v>331</v>
      </c>
      <c r="P46" s="51"/>
      <c r="Q46" s="51" t="s">
        <v>332</v>
      </c>
      <c r="R46" s="51"/>
      <c r="S46" s="51" t="s">
        <v>345</v>
      </c>
      <c r="T46" s="51"/>
      <c r="U46" s="51" t="s">
        <v>334</v>
      </c>
      <c r="V46" s="51"/>
      <c r="W46" s="51" t="s">
        <v>130</v>
      </c>
      <c r="X46" s="51"/>
      <c r="Y46" s="33"/>
      <c r="Z46" s="33"/>
    </row>
    <row r="47" spans="1:26" ht="87" customHeight="1">
      <c r="B47" s="48" t="s">
        <v>346</v>
      </c>
      <c r="C47" s="49"/>
      <c r="D47" s="49" t="s">
        <v>347</v>
      </c>
      <c r="E47" s="49" t="s">
        <v>348</v>
      </c>
      <c r="F47" s="49" t="s">
        <v>349</v>
      </c>
      <c r="G47" s="60" t="s">
        <v>350</v>
      </c>
      <c r="H47" s="60" t="s">
        <v>144</v>
      </c>
      <c r="I47" s="79" t="s">
        <v>318</v>
      </c>
      <c r="J47" s="60">
        <v>0</v>
      </c>
      <c r="K47" s="79">
        <v>0</v>
      </c>
      <c r="L47" s="60">
        <v>100</v>
      </c>
      <c r="M47" s="79">
        <v>100</v>
      </c>
      <c r="N47" s="80">
        <v>45261</v>
      </c>
      <c r="O47" s="79" t="s">
        <v>351</v>
      </c>
      <c r="P47" s="79" t="s">
        <v>352</v>
      </c>
      <c r="Q47" s="79" t="s">
        <v>353</v>
      </c>
      <c r="R47" s="79" t="s">
        <v>353</v>
      </c>
      <c r="S47" s="60" t="s">
        <v>354</v>
      </c>
      <c r="T47" s="60" t="s">
        <v>355</v>
      </c>
      <c r="U47" s="60" t="s">
        <v>356</v>
      </c>
      <c r="V47" s="60" t="s">
        <v>357</v>
      </c>
      <c r="W47" s="60" t="s">
        <v>358</v>
      </c>
      <c r="X47" s="60" t="s">
        <v>359</v>
      </c>
    </row>
    <row r="48" spans="1:26" ht="75" customHeight="1">
      <c r="A48" s="33"/>
      <c r="B48" s="48" t="s">
        <v>360</v>
      </c>
      <c r="C48" s="49"/>
      <c r="D48" s="49" t="s">
        <v>361</v>
      </c>
      <c r="E48" s="49"/>
      <c r="F48" s="49" t="s">
        <v>362</v>
      </c>
      <c r="G48" s="51"/>
      <c r="H48" s="60" t="s">
        <v>126</v>
      </c>
      <c r="I48" s="51"/>
      <c r="J48" s="60" t="s">
        <v>126</v>
      </c>
      <c r="K48" s="51"/>
      <c r="L48" s="60" t="s">
        <v>126</v>
      </c>
      <c r="M48" s="51"/>
      <c r="N48" s="60" t="s">
        <v>153</v>
      </c>
      <c r="O48" s="51" t="s">
        <v>160</v>
      </c>
      <c r="P48" s="51"/>
      <c r="Q48" s="51" t="s">
        <v>363</v>
      </c>
      <c r="R48" s="51"/>
      <c r="S48" s="51" t="s">
        <v>364</v>
      </c>
      <c r="T48" s="51"/>
      <c r="U48" s="51" t="s">
        <v>365</v>
      </c>
      <c r="V48" s="51"/>
      <c r="W48" s="51" t="s">
        <v>130</v>
      </c>
      <c r="X48" s="51"/>
      <c r="Y48" s="33"/>
      <c r="Z48" s="33"/>
    </row>
    <row r="49" spans="1:26" ht="75" customHeight="1">
      <c r="A49" s="33"/>
      <c r="B49" s="48" t="s">
        <v>360</v>
      </c>
      <c r="C49" s="49"/>
      <c r="D49" s="49" t="s">
        <v>366</v>
      </c>
      <c r="E49" s="49"/>
      <c r="F49" s="49" t="s">
        <v>367</v>
      </c>
      <c r="G49" s="51"/>
      <c r="H49" s="60" t="s">
        <v>126</v>
      </c>
      <c r="I49" s="51"/>
      <c r="J49" s="60" t="s">
        <v>126</v>
      </c>
      <c r="K49" s="51"/>
      <c r="L49" s="60" t="s">
        <v>126</v>
      </c>
      <c r="M49" s="51"/>
      <c r="N49" s="60" t="s">
        <v>171</v>
      </c>
      <c r="O49" s="51" t="s">
        <v>160</v>
      </c>
      <c r="P49" s="51"/>
      <c r="Q49" s="51" t="s">
        <v>363</v>
      </c>
      <c r="R49" s="51"/>
      <c r="S49" s="51" t="s">
        <v>368</v>
      </c>
      <c r="T49" s="51"/>
      <c r="U49" s="51" t="s">
        <v>365</v>
      </c>
      <c r="V49" s="51"/>
      <c r="W49" s="51" t="s">
        <v>130</v>
      </c>
      <c r="X49" s="51"/>
      <c r="Y49" s="33"/>
      <c r="Z49" s="33"/>
    </row>
    <row r="50" spans="1:26" ht="75" customHeight="1">
      <c r="A50" s="33"/>
      <c r="B50" s="48" t="s">
        <v>360</v>
      </c>
      <c r="C50" s="49"/>
      <c r="D50" s="49" t="s">
        <v>369</v>
      </c>
      <c r="E50" s="49"/>
      <c r="F50" s="49" t="s">
        <v>126</v>
      </c>
      <c r="G50" s="51"/>
      <c r="H50" s="60" t="s">
        <v>370</v>
      </c>
      <c r="I50" s="51"/>
      <c r="J50" s="60">
        <v>0</v>
      </c>
      <c r="K50" s="51"/>
      <c r="L50" s="60">
        <v>20</v>
      </c>
      <c r="M50" s="51"/>
      <c r="N50" s="60" t="s">
        <v>312</v>
      </c>
      <c r="O50" s="51" t="s">
        <v>160</v>
      </c>
      <c r="P50" s="51"/>
      <c r="Q50" s="51" t="s">
        <v>363</v>
      </c>
      <c r="R50" s="51"/>
      <c r="S50" s="51" t="s">
        <v>371</v>
      </c>
      <c r="T50" s="51"/>
      <c r="U50" s="51" t="s">
        <v>365</v>
      </c>
      <c r="V50" s="51"/>
      <c r="W50" s="51" t="s">
        <v>130</v>
      </c>
      <c r="X50" s="51"/>
      <c r="Y50" s="33"/>
      <c r="Z50" s="33"/>
    </row>
    <row r="51" spans="1:26" ht="75" customHeight="1">
      <c r="A51" s="33"/>
      <c r="B51" s="81" t="s">
        <v>372</v>
      </c>
      <c r="C51" s="49"/>
      <c r="D51" s="49" t="s">
        <v>373</v>
      </c>
      <c r="E51" s="49"/>
      <c r="F51" s="49" t="s">
        <v>374</v>
      </c>
      <c r="G51" s="51"/>
      <c r="H51" s="60" t="s">
        <v>126</v>
      </c>
      <c r="I51" s="51"/>
      <c r="J51" s="60" t="s">
        <v>126</v>
      </c>
      <c r="K51" s="51"/>
      <c r="L51" s="60" t="s">
        <v>126</v>
      </c>
      <c r="M51" s="51"/>
      <c r="N51" s="60" t="s">
        <v>142</v>
      </c>
      <c r="O51" s="51" t="s">
        <v>160</v>
      </c>
      <c r="P51" s="51"/>
      <c r="Q51" s="51" t="s">
        <v>375</v>
      </c>
      <c r="R51" s="51"/>
      <c r="S51" s="51" t="s">
        <v>376</v>
      </c>
      <c r="T51" s="51"/>
      <c r="U51" s="51" t="s">
        <v>377</v>
      </c>
      <c r="V51" s="51"/>
      <c r="W51" s="51" t="s">
        <v>130</v>
      </c>
      <c r="X51" s="51"/>
      <c r="Y51" s="33"/>
      <c r="Z51" s="33"/>
    </row>
    <row r="52" spans="1:26" ht="60.75" customHeight="1">
      <c r="B52" s="81" t="s">
        <v>372</v>
      </c>
      <c r="C52" s="49"/>
      <c r="D52" s="49" t="s">
        <v>378</v>
      </c>
      <c r="E52" s="49" t="s">
        <v>379</v>
      </c>
      <c r="F52" s="60" t="s">
        <v>380</v>
      </c>
      <c r="G52" s="60" t="s">
        <v>381</v>
      </c>
      <c r="I52" s="79" t="s">
        <v>318</v>
      </c>
      <c r="J52" s="60">
        <v>0</v>
      </c>
      <c r="K52" s="79">
        <v>0</v>
      </c>
      <c r="L52" s="60" t="s">
        <v>382</v>
      </c>
      <c r="M52" s="60" t="s">
        <v>382</v>
      </c>
      <c r="N52" s="80">
        <v>45261</v>
      </c>
      <c r="O52" s="79" t="s">
        <v>353</v>
      </c>
      <c r="P52" s="79" t="s">
        <v>353</v>
      </c>
      <c r="Q52" s="79" t="s">
        <v>353</v>
      </c>
      <c r="R52" s="79" t="s">
        <v>353</v>
      </c>
      <c r="S52" s="49" t="s">
        <v>383</v>
      </c>
      <c r="T52" s="60" t="s">
        <v>384</v>
      </c>
      <c r="U52" s="60" t="s">
        <v>385</v>
      </c>
      <c r="V52" s="60" t="s">
        <v>386</v>
      </c>
      <c r="W52" s="60" t="s">
        <v>326</v>
      </c>
      <c r="X52" s="60" t="s">
        <v>327</v>
      </c>
    </row>
    <row r="53" spans="1:26" ht="15.75" customHeight="1">
      <c r="A53" s="82"/>
      <c r="B53" s="81" t="s">
        <v>387</v>
      </c>
      <c r="C53" s="83"/>
      <c r="D53" s="84" t="s">
        <v>388</v>
      </c>
      <c r="E53" s="84"/>
      <c r="F53" s="83" t="s">
        <v>389</v>
      </c>
      <c r="G53" s="83"/>
      <c r="H53" s="84" t="s">
        <v>126</v>
      </c>
      <c r="I53" s="83"/>
      <c r="J53" s="84" t="s">
        <v>126</v>
      </c>
      <c r="K53" s="83"/>
      <c r="L53" s="84" t="s">
        <v>126</v>
      </c>
      <c r="M53" s="83"/>
      <c r="N53" s="84" t="s">
        <v>171</v>
      </c>
      <c r="O53" s="83" t="s">
        <v>160</v>
      </c>
      <c r="P53" s="83"/>
      <c r="Q53" s="83" t="s">
        <v>375</v>
      </c>
      <c r="R53" s="83"/>
      <c r="S53" s="83" t="s">
        <v>390</v>
      </c>
      <c r="T53" s="83"/>
      <c r="U53" s="83" t="s">
        <v>391</v>
      </c>
      <c r="V53" s="83"/>
      <c r="W53" s="83" t="s">
        <v>130</v>
      </c>
      <c r="X53" s="83"/>
      <c r="Y53" s="82"/>
      <c r="Z53" s="82"/>
    </row>
    <row r="54" spans="1:26" ht="15.75" customHeight="1">
      <c r="A54" s="82"/>
      <c r="B54" s="81" t="s">
        <v>387</v>
      </c>
      <c r="C54" s="83"/>
      <c r="D54" s="84" t="s">
        <v>392</v>
      </c>
      <c r="E54" s="84"/>
      <c r="F54" s="83" t="s">
        <v>393</v>
      </c>
      <c r="G54" s="83"/>
      <c r="H54" s="84" t="s">
        <v>126</v>
      </c>
      <c r="I54" s="83"/>
      <c r="J54" s="84" t="s">
        <v>126</v>
      </c>
      <c r="K54" s="83"/>
      <c r="L54" s="84" t="s">
        <v>126</v>
      </c>
      <c r="M54" s="83"/>
      <c r="N54" s="84" t="s">
        <v>312</v>
      </c>
      <c r="O54" s="83" t="s">
        <v>160</v>
      </c>
      <c r="P54" s="83"/>
      <c r="Q54" s="83" t="s">
        <v>375</v>
      </c>
      <c r="R54" s="83"/>
      <c r="S54" s="83" t="s">
        <v>394</v>
      </c>
      <c r="T54" s="83"/>
      <c r="U54" s="83" t="s">
        <v>395</v>
      </c>
      <c r="V54" s="83"/>
      <c r="W54" s="83" t="s">
        <v>130</v>
      </c>
      <c r="X54" s="83"/>
      <c r="Y54" s="82"/>
      <c r="Z54" s="82"/>
    </row>
    <row r="55" spans="1:26" ht="15.75" customHeight="1">
      <c r="A55" s="82"/>
      <c r="B55" s="81" t="s">
        <v>387</v>
      </c>
      <c r="C55" s="83"/>
      <c r="D55" s="84" t="s">
        <v>396</v>
      </c>
      <c r="E55" s="84"/>
      <c r="F55" s="83" t="s">
        <v>397</v>
      </c>
      <c r="G55" s="83"/>
      <c r="H55" s="84" t="s">
        <v>126</v>
      </c>
      <c r="I55" s="83"/>
      <c r="J55" s="84" t="s">
        <v>126</v>
      </c>
      <c r="K55" s="83"/>
      <c r="L55" s="84" t="s">
        <v>126</v>
      </c>
      <c r="M55" s="83"/>
      <c r="N55" s="84" t="s">
        <v>398</v>
      </c>
      <c r="O55" s="83" t="s">
        <v>160</v>
      </c>
      <c r="P55" s="83"/>
      <c r="Q55" s="83" t="s">
        <v>375</v>
      </c>
      <c r="R55" s="83"/>
      <c r="S55" s="83" t="s">
        <v>399</v>
      </c>
      <c r="T55" s="83"/>
      <c r="U55" s="83" t="s">
        <v>400</v>
      </c>
      <c r="V55" s="83"/>
      <c r="W55" s="83" t="s">
        <v>130</v>
      </c>
      <c r="X55" s="83"/>
      <c r="Y55" s="82"/>
      <c r="Z55" s="82"/>
    </row>
    <row r="56" spans="1:26" ht="75" customHeight="1">
      <c r="A56" s="33"/>
      <c r="B56" s="48" t="s">
        <v>401</v>
      </c>
      <c r="C56" s="49"/>
      <c r="D56" s="49" t="s">
        <v>402</v>
      </c>
      <c r="E56" s="49"/>
      <c r="F56" s="49" t="s">
        <v>403</v>
      </c>
      <c r="G56" s="51"/>
      <c r="H56" s="60" t="s">
        <v>126</v>
      </c>
      <c r="I56" s="51"/>
      <c r="J56" s="60" t="s">
        <v>126</v>
      </c>
      <c r="K56" s="51"/>
      <c r="L56" s="60" t="s">
        <v>126</v>
      </c>
      <c r="M56" s="51"/>
      <c r="N56" s="60" t="s">
        <v>127</v>
      </c>
      <c r="O56" s="51" t="s">
        <v>160</v>
      </c>
      <c r="P56" s="51"/>
      <c r="Q56" s="51" t="s">
        <v>375</v>
      </c>
      <c r="R56" s="51"/>
      <c r="S56" s="51" t="s">
        <v>404</v>
      </c>
      <c r="T56" s="51"/>
      <c r="U56" s="51" t="s">
        <v>405</v>
      </c>
      <c r="V56" s="51"/>
      <c r="W56" s="51" t="s">
        <v>406</v>
      </c>
      <c r="X56" s="51"/>
      <c r="Y56" s="33"/>
      <c r="Z56" s="33"/>
    </row>
    <row r="57" spans="1:26" ht="75" customHeight="1">
      <c r="A57" s="33"/>
      <c r="B57" s="85" t="s">
        <v>407</v>
      </c>
      <c r="C57" s="49"/>
      <c r="D57" s="49" t="s">
        <v>408</v>
      </c>
      <c r="E57" s="49"/>
      <c r="F57" s="49" t="s">
        <v>409</v>
      </c>
      <c r="G57" s="51"/>
      <c r="H57" s="60" t="s">
        <v>126</v>
      </c>
      <c r="I57" s="51"/>
      <c r="J57" s="60" t="s">
        <v>126</v>
      </c>
      <c r="K57" s="51"/>
      <c r="L57" s="60" t="s">
        <v>126</v>
      </c>
      <c r="M57" s="51"/>
      <c r="N57" s="60" t="s">
        <v>153</v>
      </c>
      <c r="O57" s="51" t="s">
        <v>160</v>
      </c>
      <c r="P57" s="51"/>
      <c r="Q57" s="51" t="s">
        <v>375</v>
      </c>
      <c r="R57" s="51"/>
      <c r="S57" s="51" t="s">
        <v>410</v>
      </c>
      <c r="T57" s="51"/>
      <c r="U57" s="51" t="s">
        <v>405</v>
      </c>
      <c r="V57" s="51"/>
      <c r="W57" s="51" t="s">
        <v>411</v>
      </c>
      <c r="X57" s="51"/>
      <c r="Y57" s="33"/>
      <c r="Z57" s="33"/>
    </row>
    <row r="58" spans="1:26" ht="75" customHeight="1">
      <c r="A58" s="33"/>
      <c r="B58" s="85" t="s">
        <v>407</v>
      </c>
      <c r="C58" s="49"/>
      <c r="D58" s="49" t="s">
        <v>412</v>
      </c>
      <c r="E58" s="49"/>
      <c r="F58" s="49" t="s">
        <v>413</v>
      </c>
      <c r="G58" s="51"/>
      <c r="H58" s="60" t="s">
        <v>126</v>
      </c>
      <c r="I58" s="51"/>
      <c r="J58" s="60" t="s">
        <v>126</v>
      </c>
      <c r="K58" s="51"/>
      <c r="L58" s="60" t="s">
        <v>126</v>
      </c>
      <c r="M58" s="51"/>
      <c r="N58" s="51" t="s">
        <v>192</v>
      </c>
      <c r="O58" s="51" t="s">
        <v>160</v>
      </c>
      <c r="P58" s="51"/>
      <c r="Q58" s="51" t="s">
        <v>375</v>
      </c>
      <c r="R58" s="51"/>
      <c r="S58" s="51" t="s">
        <v>414</v>
      </c>
      <c r="T58" s="51"/>
      <c r="U58" s="51" t="s">
        <v>415</v>
      </c>
      <c r="V58" s="51"/>
      <c r="W58" s="51" t="s">
        <v>416</v>
      </c>
      <c r="X58" s="51"/>
      <c r="Y58" s="33"/>
      <c r="Z58" s="33"/>
    </row>
    <row r="59" spans="1:26" ht="75" customHeight="1">
      <c r="A59" s="33"/>
      <c r="B59" s="85" t="s">
        <v>407</v>
      </c>
      <c r="C59" s="49"/>
      <c r="D59" s="49" t="s">
        <v>308</v>
      </c>
      <c r="E59" s="49"/>
      <c r="F59" s="49" t="s">
        <v>126</v>
      </c>
      <c r="G59" s="51"/>
      <c r="H59" s="60" t="s">
        <v>144</v>
      </c>
      <c r="I59" s="51"/>
      <c r="J59" s="60">
        <v>1</v>
      </c>
      <c r="K59" s="51"/>
      <c r="L59" s="60">
        <v>2</v>
      </c>
      <c r="M59" s="51"/>
      <c r="N59" s="60" t="s">
        <v>192</v>
      </c>
      <c r="O59" s="51" t="s">
        <v>160</v>
      </c>
      <c r="P59" s="51"/>
      <c r="Q59" s="51" t="s">
        <v>375</v>
      </c>
      <c r="R59" s="51"/>
      <c r="S59" s="51" t="s">
        <v>417</v>
      </c>
      <c r="T59" s="51"/>
      <c r="U59" s="51" t="s">
        <v>405</v>
      </c>
      <c r="V59" s="51"/>
      <c r="W59" s="51" t="s">
        <v>418</v>
      </c>
      <c r="X59" s="51"/>
      <c r="Y59" s="33"/>
      <c r="Z59" s="33"/>
    </row>
    <row r="60" spans="1:26" ht="75" customHeight="1">
      <c r="A60" s="33"/>
      <c r="B60" s="85" t="s">
        <v>407</v>
      </c>
      <c r="C60" s="49"/>
      <c r="D60" s="49" t="s">
        <v>419</v>
      </c>
      <c r="E60" s="49"/>
      <c r="F60" s="49" t="s">
        <v>126</v>
      </c>
      <c r="G60" s="51"/>
      <c r="H60" s="60" t="s">
        <v>144</v>
      </c>
      <c r="I60" s="51"/>
      <c r="J60" s="60">
        <v>10</v>
      </c>
      <c r="K60" s="51"/>
      <c r="L60" s="60">
        <v>19</v>
      </c>
      <c r="M60" s="51"/>
      <c r="N60" s="60" t="s">
        <v>153</v>
      </c>
      <c r="O60" s="51" t="s">
        <v>160</v>
      </c>
      <c r="P60" s="51"/>
      <c r="Q60" s="51" t="s">
        <v>375</v>
      </c>
      <c r="R60" s="51"/>
      <c r="S60" s="51" t="s">
        <v>420</v>
      </c>
      <c r="T60" s="51"/>
      <c r="U60" s="51" t="s">
        <v>405</v>
      </c>
      <c r="V60" s="51"/>
      <c r="W60" s="51" t="s">
        <v>418</v>
      </c>
      <c r="X60" s="51"/>
      <c r="Y60" s="33"/>
      <c r="Z60" s="33"/>
    </row>
    <row r="61" spans="1:26"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spans="1:26"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spans="1:26" ht="15.75" customHeight="1">
      <c r="A63" s="33"/>
      <c r="B63" s="33"/>
      <c r="C63" s="33"/>
      <c r="D63" s="33"/>
      <c r="E63" s="33"/>
      <c r="F63" s="33"/>
      <c r="G63" s="33"/>
      <c r="H63" s="33"/>
      <c r="I63" s="33"/>
      <c r="J63" s="33"/>
      <c r="K63" s="33"/>
      <c r="L63" s="33"/>
      <c r="M63" s="33"/>
      <c r="N63" s="33"/>
      <c r="O63" s="33"/>
      <c r="P63" s="33"/>
      <c r="Q63" s="33"/>
      <c r="R63" s="33"/>
      <c r="T63" s="33"/>
      <c r="U63" s="33"/>
      <c r="V63" s="33"/>
      <c r="W63" s="33"/>
      <c r="X63" s="33"/>
      <c r="Y63" s="33"/>
      <c r="Z63" s="33"/>
    </row>
    <row r="64" spans="1:26"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spans="1:26"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spans="1:26"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spans="1:26"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spans="1:26"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spans="1:26"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spans="1:26"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spans="1:26"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spans="1:26"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spans="1:2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spans="1:26"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spans="1:26"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spans="1:26"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spans="1:26"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spans="1:2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spans="1:26"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spans="1:26"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spans="1:26"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spans="1:26"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spans="1:26"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spans="1:26"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spans="1:26"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
    <mergeCell ref="B2:X2"/>
    <mergeCell ref="H3:M3"/>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B8A6-991C-47A4-AA9A-BC9DE52ABE39}">
  <dimension ref="B1:X15"/>
  <sheetViews>
    <sheetView showGridLines="0" zoomScaleNormal="70" workbookViewId="0">
      <pane xSplit="1" ySplit="5" topLeftCell="B6" activePane="bottomRight" state="frozen"/>
      <selection pane="topRight" activeCell="B1" sqref="B1"/>
      <selection pane="bottomLeft" activeCell="A6" sqref="A6"/>
      <selection pane="bottomRight" activeCell="B15" sqref="B15"/>
    </sheetView>
  </sheetViews>
  <sheetFormatPr defaultColWidth="9.140625" defaultRowHeight="15"/>
  <cols>
    <col min="1" max="1" width="2.42578125" style="105" customWidth="1"/>
    <col min="2" max="2" width="93.140625" style="105" customWidth="1"/>
    <col min="3" max="3" width="25.140625" style="105" customWidth="1"/>
    <col min="4" max="4" width="42.140625" style="105" customWidth="1"/>
    <col min="5" max="5" width="20.42578125" style="105" customWidth="1"/>
    <col min="6" max="6" width="11.85546875" style="105" customWidth="1"/>
    <col min="7" max="7" width="19.42578125" style="105" customWidth="1"/>
    <col min="8" max="8" width="19.7109375" style="105" customWidth="1"/>
    <col min="9" max="9" width="18.42578125" style="105" customWidth="1"/>
    <col min="10" max="10" width="22" style="105" customWidth="1"/>
    <col min="11" max="11" width="25.85546875" style="105" customWidth="1"/>
    <col min="12" max="12" width="26.7109375" style="105" customWidth="1"/>
    <col min="13" max="13" width="19.140625" style="105" customWidth="1"/>
    <col min="14" max="14" width="22.140625" style="105" customWidth="1"/>
    <col min="15" max="15" width="13.7109375" style="105" bestFit="1" customWidth="1"/>
    <col min="16" max="16" width="14.85546875" style="105" bestFit="1" customWidth="1"/>
    <col min="17" max="17" width="16.28515625" style="105" bestFit="1" customWidth="1"/>
    <col min="18" max="18" width="15.7109375" style="105" bestFit="1" customWidth="1"/>
    <col min="19" max="19" width="21.42578125" style="105" customWidth="1"/>
    <col min="20" max="20" width="16.140625" style="105" bestFit="1" customWidth="1"/>
    <col min="21" max="21" width="28.42578125" style="105" customWidth="1"/>
    <col min="22" max="23" width="13.85546875" style="105" bestFit="1" customWidth="1"/>
    <col min="24" max="24" width="13" style="105" bestFit="1" customWidth="1"/>
    <col min="25" max="16384" width="9.140625" style="105"/>
  </cols>
  <sheetData>
    <row r="1" spans="2:24" customFormat="1" ht="15.75" thickBot="1"/>
    <row r="2" spans="2:24" customFormat="1"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customFormat="1" ht="79.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customFormat="1"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customFormat="1" ht="15.75">
      <c r="B5" s="100" t="s">
        <v>421</v>
      </c>
      <c r="C5" s="101"/>
      <c r="D5" s="101"/>
      <c r="E5" s="101"/>
      <c r="F5" s="101"/>
      <c r="G5" s="101"/>
      <c r="H5" s="101"/>
      <c r="I5" s="101"/>
      <c r="J5" s="101"/>
      <c r="K5" s="101"/>
      <c r="L5" s="101"/>
      <c r="M5" s="102"/>
    </row>
    <row r="7" spans="2:24" ht="189">
      <c r="B7" s="103" t="s">
        <v>422</v>
      </c>
      <c r="C7" s="103"/>
      <c r="D7" s="103" t="s">
        <v>423</v>
      </c>
      <c r="E7" s="103"/>
      <c r="F7" s="103" t="s">
        <v>424</v>
      </c>
      <c r="G7" s="103"/>
      <c r="H7" s="103" t="s">
        <v>425</v>
      </c>
      <c r="I7" s="103"/>
      <c r="J7" s="103">
        <v>0</v>
      </c>
      <c r="K7" s="103"/>
      <c r="L7" s="103">
        <v>1</v>
      </c>
      <c r="M7" s="103"/>
      <c r="N7" s="103">
        <v>2021</v>
      </c>
      <c r="O7" s="103"/>
      <c r="P7" s="103"/>
      <c r="Q7" s="104" t="s">
        <v>136</v>
      </c>
      <c r="R7" s="103"/>
      <c r="S7" s="103" t="s">
        <v>426</v>
      </c>
      <c r="T7" s="103"/>
      <c r="U7" s="103" t="s">
        <v>427</v>
      </c>
      <c r="V7" s="103"/>
      <c r="W7" s="103" t="s">
        <v>428</v>
      </c>
      <c r="X7" s="103"/>
    </row>
    <row r="8" spans="2:24" customFormat="1" ht="180">
      <c r="B8" s="103" t="s">
        <v>429</v>
      </c>
      <c r="C8" s="106"/>
      <c r="D8" s="103" t="s">
        <v>430</v>
      </c>
      <c r="E8" s="103"/>
      <c r="F8" s="107" t="s">
        <v>431</v>
      </c>
      <c r="G8" s="106"/>
      <c r="H8" s="103" t="s">
        <v>144</v>
      </c>
      <c r="I8" s="106"/>
      <c r="J8" s="103">
        <v>0</v>
      </c>
      <c r="K8" s="106"/>
      <c r="L8" s="103">
        <v>6</v>
      </c>
      <c r="M8" s="106"/>
      <c r="N8" s="103" t="s">
        <v>432</v>
      </c>
      <c r="O8" s="104" t="s">
        <v>433</v>
      </c>
      <c r="P8" s="104"/>
      <c r="Q8" s="104" t="s">
        <v>136</v>
      </c>
      <c r="R8" s="104"/>
      <c r="S8" s="104" t="s">
        <v>434</v>
      </c>
      <c r="T8" s="106"/>
      <c r="U8" s="107" t="s">
        <v>435</v>
      </c>
      <c r="V8" s="106"/>
      <c r="W8" s="107" t="s">
        <v>436</v>
      </c>
      <c r="X8" s="106"/>
    </row>
    <row r="9" spans="2:24" customFormat="1" ht="180">
      <c r="B9" s="103" t="s">
        <v>429</v>
      </c>
      <c r="C9" s="106"/>
      <c r="D9" s="103" t="s">
        <v>437</v>
      </c>
      <c r="E9" s="103"/>
      <c r="F9" s="107" t="s">
        <v>438</v>
      </c>
      <c r="G9" s="106"/>
      <c r="H9" s="103" t="s">
        <v>144</v>
      </c>
      <c r="I9" s="106"/>
      <c r="J9" s="103">
        <v>0</v>
      </c>
      <c r="K9" s="106"/>
      <c r="L9" s="108" t="s">
        <v>439</v>
      </c>
      <c r="M9" s="106"/>
      <c r="N9" s="103" t="s">
        <v>135</v>
      </c>
      <c r="O9" s="107" t="s">
        <v>440</v>
      </c>
      <c r="P9" s="106"/>
      <c r="Q9" s="107" t="s">
        <v>136</v>
      </c>
      <c r="R9" s="106"/>
      <c r="S9" s="107" t="s">
        <v>441</v>
      </c>
      <c r="T9" s="106"/>
      <c r="U9" s="107" t="s">
        <v>435</v>
      </c>
      <c r="V9" s="106"/>
      <c r="W9" s="107" t="s">
        <v>442</v>
      </c>
      <c r="X9" s="106"/>
    </row>
    <row r="10" spans="2:24" customFormat="1" ht="189">
      <c r="B10" s="103" t="s">
        <v>429</v>
      </c>
      <c r="C10" s="106"/>
      <c r="D10" s="109" t="s">
        <v>443</v>
      </c>
      <c r="E10" s="109"/>
      <c r="F10" s="107" t="s">
        <v>444</v>
      </c>
      <c r="G10" s="106"/>
      <c r="H10" s="109" t="s">
        <v>144</v>
      </c>
      <c r="I10" s="106"/>
      <c r="J10" s="109">
        <v>0</v>
      </c>
      <c r="K10" s="106"/>
      <c r="L10" s="109" t="s">
        <v>445</v>
      </c>
      <c r="M10" s="106"/>
      <c r="N10" s="110" t="s">
        <v>206</v>
      </c>
      <c r="O10" s="104" t="s">
        <v>446</v>
      </c>
      <c r="P10" s="104"/>
      <c r="Q10" s="104" t="s">
        <v>136</v>
      </c>
      <c r="R10" s="104"/>
      <c r="S10" s="104" t="s">
        <v>447</v>
      </c>
      <c r="T10" s="106"/>
      <c r="U10" s="107" t="s">
        <v>448</v>
      </c>
      <c r="V10" s="106"/>
      <c r="W10" s="107" t="s">
        <v>449</v>
      </c>
      <c r="X10" s="106"/>
    </row>
    <row r="12" spans="2:24" ht="300">
      <c r="B12" s="103" t="s">
        <v>450</v>
      </c>
      <c r="C12" s="107"/>
      <c r="D12" s="109" t="s">
        <v>451</v>
      </c>
      <c r="E12" s="109"/>
      <c r="F12" s="107" t="s">
        <v>452</v>
      </c>
      <c r="G12" s="107"/>
      <c r="H12" s="103" t="s">
        <v>134</v>
      </c>
      <c r="I12" s="107"/>
      <c r="J12" s="109">
        <v>0</v>
      </c>
      <c r="K12" s="107"/>
      <c r="L12" s="109">
        <v>5</v>
      </c>
      <c r="M12" s="107"/>
      <c r="N12" s="111" t="s">
        <v>453</v>
      </c>
      <c r="O12" s="107" t="s">
        <v>136</v>
      </c>
      <c r="P12" s="107"/>
      <c r="Q12" s="107" t="s">
        <v>136</v>
      </c>
      <c r="R12" s="107"/>
      <c r="S12" s="107" t="s">
        <v>454</v>
      </c>
      <c r="T12" s="107"/>
      <c r="U12" s="107" t="s">
        <v>455</v>
      </c>
      <c r="V12" s="107"/>
      <c r="W12" s="107" t="s">
        <v>139</v>
      </c>
      <c r="X12" s="107"/>
    </row>
    <row r="13" spans="2:24" ht="285">
      <c r="B13" s="103" t="s">
        <v>450</v>
      </c>
      <c r="C13" s="107"/>
      <c r="D13" s="103" t="s">
        <v>456</v>
      </c>
      <c r="E13" s="103"/>
      <c r="F13" s="107" t="s">
        <v>457</v>
      </c>
      <c r="G13" s="107"/>
      <c r="H13" s="103" t="s">
        <v>144</v>
      </c>
      <c r="I13" s="107"/>
      <c r="J13" s="103">
        <v>0</v>
      </c>
      <c r="K13" s="107"/>
      <c r="L13" s="103">
        <v>1</v>
      </c>
      <c r="M13" s="107"/>
      <c r="N13" s="103" t="s">
        <v>153</v>
      </c>
      <c r="O13" s="107" t="s">
        <v>146</v>
      </c>
      <c r="P13" s="107"/>
      <c r="Q13" s="107" t="s">
        <v>136</v>
      </c>
      <c r="R13" s="107"/>
      <c r="S13" s="107" t="s">
        <v>458</v>
      </c>
      <c r="T13" s="107"/>
      <c r="U13" s="107" t="s">
        <v>455</v>
      </c>
      <c r="V13" s="107"/>
      <c r="W13" s="107" t="s">
        <v>149</v>
      </c>
      <c r="X13" s="107"/>
    </row>
    <row r="14" spans="2:24" ht="270">
      <c r="B14" s="103" t="s">
        <v>459</v>
      </c>
      <c r="C14" s="107"/>
      <c r="D14" s="103" t="s">
        <v>460</v>
      </c>
      <c r="E14" s="103"/>
      <c r="F14" s="107" t="s">
        <v>461</v>
      </c>
      <c r="G14" s="107"/>
      <c r="H14" s="103" t="s">
        <v>462</v>
      </c>
      <c r="I14" s="107"/>
      <c r="J14" s="103">
        <v>0</v>
      </c>
      <c r="K14" s="107"/>
      <c r="L14" s="103">
        <v>1</v>
      </c>
      <c r="M14" s="107"/>
      <c r="N14" s="103" t="s">
        <v>129</v>
      </c>
      <c r="O14" s="107" t="s">
        <v>136</v>
      </c>
      <c r="P14" s="107"/>
      <c r="Q14" s="107" t="s">
        <v>136</v>
      </c>
      <c r="R14" s="107"/>
      <c r="S14" s="107" t="s">
        <v>463</v>
      </c>
      <c r="T14" s="107"/>
      <c r="U14" s="107" t="s">
        <v>464</v>
      </c>
      <c r="V14" s="107"/>
      <c r="W14" s="107" t="s">
        <v>465</v>
      </c>
      <c r="X14" s="107"/>
    </row>
    <row r="15" spans="2:24" ht="150">
      <c r="B15" s="103" t="s">
        <v>459</v>
      </c>
      <c r="C15" s="107"/>
      <c r="D15" s="103" t="s">
        <v>466</v>
      </c>
      <c r="E15" s="103"/>
      <c r="F15" s="107" t="s">
        <v>467</v>
      </c>
      <c r="G15" s="107"/>
      <c r="H15" s="103" t="s">
        <v>144</v>
      </c>
      <c r="I15" s="107"/>
      <c r="J15" s="103">
        <v>0</v>
      </c>
      <c r="K15" s="107"/>
      <c r="L15" s="103">
        <v>200</v>
      </c>
      <c r="M15" s="107"/>
      <c r="N15" s="103" t="s">
        <v>145</v>
      </c>
      <c r="O15" s="107" t="s">
        <v>136</v>
      </c>
      <c r="P15" s="107"/>
      <c r="Q15" s="107" t="s">
        <v>136</v>
      </c>
      <c r="R15" s="107"/>
      <c r="S15" s="107" t="s">
        <v>468</v>
      </c>
      <c r="T15" s="107"/>
      <c r="U15" s="107" t="s">
        <v>469</v>
      </c>
      <c r="V15" s="107"/>
      <c r="W15" s="107" t="s">
        <v>470</v>
      </c>
      <c r="X15" s="107"/>
    </row>
  </sheetData>
  <mergeCells count="2">
    <mergeCell ref="B2:X2"/>
    <mergeCell ref="H3:M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CAB8-49B5-41F3-BDF3-7A7803A833DD}">
  <dimension ref="B1:X17"/>
  <sheetViews>
    <sheetView showGridLines="0" zoomScale="70" zoomScaleNormal="70" workbookViewId="0">
      <pane xSplit="1" ySplit="5" topLeftCell="B6" activePane="bottomRight" state="frozen"/>
      <selection pane="topRight" activeCell="B1" sqref="B1"/>
      <selection pane="bottomLeft" activeCell="A6" sqref="A6"/>
      <selection pane="bottomRight" activeCell="S14" sqref="S14"/>
    </sheetView>
  </sheetViews>
  <sheetFormatPr defaultColWidth="8.85546875" defaultRowHeight="15.75"/>
  <cols>
    <col min="1" max="1" width="2.42578125" style="113" customWidth="1"/>
    <col min="2" max="2" width="81.7109375" style="112" bestFit="1" customWidth="1"/>
    <col min="3" max="3" width="20.85546875" style="113" bestFit="1" customWidth="1"/>
    <col min="4" max="4" width="56.85546875" style="112" bestFit="1" customWidth="1"/>
    <col min="5" max="5" width="20.140625" style="113" bestFit="1" customWidth="1"/>
    <col min="6" max="6" width="12.42578125" style="113" bestFit="1" customWidth="1"/>
    <col min="7" max="7" width="15.7109375" style="113" bestFit="1" customWidth="1"/>
    <col min="8" max="8" width="15" style="113" bestFit="1" customWidth="1"/>
    <col min="9" max="9" width="16.85546875" style="113" bestFit="1" customWidth="1"/>
    <col min="10" max="10" width="11.7109375" style="113" bestFit="1" customWidth="1"/>
    <col min="11" max="11" width="9.28515625" style="113" bestFit="1" customWidth="1"/>
    <col min="12" max="12" width="7.42578125" style="113" bestFit="1" customWidth="1"/>
    <col min="13" max="13" width="5.5703125" style="113" bestFit="1" customWidth="1"/>
    <col min="14" max="14" width="13.28515625" style="113" bestFit="1" customWidth="1"/>
    <col min="15" max="15" width="15.7109375" style="113" bestFit="1" customWidth="1"/>
    <col min="16" max="16" width="8.85546875" style="113"/>
    <col min="17" max="17" width="10.7109375" style="113" bestFit="1" customWidth="1"/>
    <col min="18" max="18" width="15.42578125" style="113" bestFit="1" customWidth="1"/>
    <col min="19" max="19" width="125.5703125" style="113" bestFit="1" customWidth="1"/>
    <col min="20" max="20" width="15.7109375" style="113" bestFit="1" customWidth="1"/>
    <col min="21" max="21" width="71.28515625" style="113" bestFit="1" customWidth="1"/>
    <col min="22" max="22" width="8.28515625" style="113" bestFit="1" customWidth="1"/>
    <col min="23" max="23" width="40.42578125" style="113" bestFit="1" customWidth="1"/>
    <col min="24" max="24" width="8.7109375" style="113" bestFit="1" customWidth="1"/>
    <col min="25" max="16384" width="8.85546875" style="113"/>
  </cols>
  <sheetData>
    <row r="1" spans="2:24" ht="16.5" thickBot="1"/>
    <row r="2" spans="2:24" ht="16.5" thickBot="1">
      <c r="B2" s="620" t="s">
        <v>0</v>
      </c>
      <c r="C2" s="621"/>
      <c r="D2" s="621"/>
      <c r="E2" s="621"/>
      <c r="F2" s="621"/>
      <c r="G2" s="621"/>
      <c r="H2" s="621"/>
      <c r="I2" s="621"/>
      <c r="J2" s="621"/>
      <c r="K2" s="621"/>
      <c r="L2" s="621"/>
      <c r="M2" s="621"/>
      <c r="N2" s="621"/>
      <c r="O2" s="621"/>
      <c r="P2" s="621"/>
      <c r="Q2" s="621"/>
      <c r="R2" s="621"/>
      <c r="S2" s="621"/>
      <c r="T2" s="621"/>
      <c r="U2" s="621"/>
      <c r="V2" s="621"/>
      <c r="W2" s="621"/>
      <c r="X2" s="622"/>
    </row>
    <row r="3" spans="2:24" ht="79.5" thickBot="1">
      <c r="B3" s="114" t="s">
        <v>1</v>
      </c>
      <c r="C3" s="87" t="s">
        <v>2</v>
      </c>
      <c r="D3" s="114" t="s">
        <v>3</v>
      </c>
      <c r="E3" s="87" t="s">
        <v>4</v>
      </c>
      <c r="F3" s="88" t="s">
        <v>5</v>
      </c>
      <c r="G3" s="115" t="s">
        <v>6</v>
      </c>
      <c r="H3" s="623" t="s">
        <v>7</v>
      </c>
      <c r="I3" s="624"/>
      <c r="J3" s="624"/>
      <c r="K3" s="624"/>
      <c r="L3" s="624"/>
      <c r="M3" s="625"/>
      <c r="N3" s="114" t="s">
        <v>8</v>
      </c>
      <c r="O3" s="116" t="s">
        <v>9</v>
      </c>
      <c r="P3" s="87" t="s">
        <v>10</v>
      </c>
      <c r="Q3" s="116" t="s">
        <v>11</v>
      </c>
      <c r="R3" s="87" t="s">
        <v>12</v>
      </c>
      <c r="S3" s="116" t="s">
        <v>13</v>
      </c>
      <c r="T3" s="87" t="s">
        <v>14</v>
      </c>
      <c r="U3" s="116" t="s">
        <v>15</v>
      </c>
      <c r="V3" s="87" t="s">
        <v>16</v>
      </c>
      <c r="W3" s="117" t="s">
        <v>17</v>
      </c>
      <c r="X3" s="115" t="s">
        <v>18</v>
      </c>
    </row>
    <row r="4" spans="2:24" ht="32.25" thickBot="1">
      <c r="B4" s="118"/>
      <c r="C4" s="119"/>
      <c r="D4" s="120"/>
      <c r="E4" s="119"/>
      <c r="F4" s="119"/>
      <c r="G4" s="119"/>
      <c r="H4" s="119" t="s">
        <v>19</v>
      </c>
      <c r="I4" s="97" t="s">
        <v>20</v>
      </c>
      <c r="J4" s="119" t="s">
        <v>21</v>
      </c>
      <c r="K4" s="97" t="s">
        <v>22</v>
      </c>
      <c r="L4" s="119" t="s">
        <v>23</v>
      </c>
      <c r="M4" s="97" t="s">
        <v>24</v>
      </c>
      <c r="N4" s="121"/>
      <c r="O4" s="119"/>
      <c r="P4" s="119"/>
      <c r="Q4" s="119"/>
      <c r="R4" s="119"/>
      <c r="S4" s="119"/>
      <c r="T4" s="122"/>
      <c r="U4" s="119"/>
      <c r="V4" s="119"/>
      <c r="W4" s="119"/>
      <c r="X4" s="119"/>
    </row>
    <row r="5" spans="2:24">
      <c r="B5" s="626" t="s">
        <v>471</v>
      </c>
      <c r="C5" s="627"/>
      <c r="D5" s="627"/>
      <c r="E5" s="627"/>
      <c r="F5" s="627"/>
      <c r="G5" s="627"/>
      <c r="H5" s="627"/>
      <c r="I5" s="627"/>
      <c r="J5" s="627"/>
      <c r="K5" s="627"/>
      <c r="L5" s="627"/>
      <c r="M5" s="628"/>
    </row>
    <row r="6" spans="2:24" ht="47.25">
      <c r="B6" s="123" t="s">
        <v>472</v>
      </c>
      <c r="C6" s="124"/>
      <c r="D6" s="125" t="s">
        <v>473</v>
      </c>
      <c r="E6" s="22"/>
      <c r="F6" s="22" t="s">
        <v>474</v>
      </c>
      <c r="G6" s="22"/>
      <c r="H6" s="22"/>
      <c r="I6" s="124"/>
      <c r="J6" s="124"/>
      <c r="K6" s="124"/>
      <c r="L6" s="124"/>
      <c r="M6" s="124"/>
      <c r="N6" s="22" t="s">
        <v>171</v>
      </c>
      <c r="O6" s="124" t="s">
        <v>475</v>
      </c>
      <c r="P6" s="124"/>
      <c r="Q6" s="124" t="s">
        <v>476</v>
      </c>
      <c r="R6" s="124"/>
      <c r="S6" s="124" t="s">
        <v>477</v>
      </c>
      <c r="T6" s="124"/>
      <c r="U6" s="124" t="s">
        <v>478</v>
      </c>
      <c r="V6" s="124"/>
      <c r="W6" s="124" t="s">
        <v>479</v>
      </c>
      <c r="X6" s="124"/>
    </row>
    <row r="7" spans="2:24" ht="63">
      <c r="B7" s="123"/>
      <c r="C7" s="124"/>
      <c r="D7" s="126" t="s">
        <v>480</v>
      </c>
      <c r="E7" s="124"/>
      <c r="F7" s="124"/>
      <c r="G7" s="124"/>
      <c r="H7" s="124" t="s">
        <v>481</v>
      </c>
      <c r="I7" s="124"/>
      <c r="J7" s="127">
        <v>1</v>
      </c>
      <c r="K7" s="124"/>
      <c r="L7" s="127">
        <v>1.25</v>
      </c>
      <c r="M7" s="124"/>
      <c r="N7" s="124" t="s">
        <v>206</v>
      </c>
      <c r="O7" s="124" t="s">
        <v>475</v>
      </c>
      <c r="P7" s="124"/>
      <c r="Q7" s="124" t="s">
        <v>476</v>
      </c>
      <c r="R7" s="124"/>
      <c r="S7" s="124" t="s">
        <v>482</v>
      </c>
      <c r="T7" s="124"/>
      <c r="U7" s="124"/>
      <c r="V7" s="124"/>
      <c r="W7" s="124" t="s">
        <v>483</v>
      </c>
      <c r="X7" s="124"/>
    </row>
    <row r="8" spans="2:24" ht="47.25">
      <c r="B8" s="123" t="s">
        <v>484</v>
      </c>
      <c r="C8" s="22"/>
      <c r="D8" s="128" t="s">
        <v>485</v>
      </c>
      <c r="E8" s="22"/>
      <c r="G8" s="22"/>
      <c r="H8" s="22" t="s">
        <v>486</v>
      </c>
      <c r="I8" s="124"/>
      <c r="J8" s="127">
        <v>0</v>
      </c>
      <c r="K8" s="124"/>
      <c r="L8" s="124">
        <v>10</v>
      </c>
      <c r="M8" s="124"/>
      <c r="N8" s="22" t="s">
        <v>145</v>
      </c>
      <c r="O8" s="124" t="s">
        <v>476</v>
      </c>
      <c r="P8" s="124"/>
      <c r="Q8" s="124" t="s">
        <v>476</v>
      </c>
      <c r="R8" s="124"/>
      <c r="S8" s="129" t="s">
        <v>487</v>
      </c>
      <c r="T8" s="124"/>
      <c r="U8" s="124" t="s">
        <v>488</v>
      </c>
      <c r="V8" s="124"/>
      <c r="W8" s="124" t="s">
        <v>489</v>
      </c>
      <c r="X8" s="124"/>
    </row>
    <row r="9" spans="2:24" ht="47.25">
      <c r="B9" s="123"/>
      <c r="C9" s="22"/>
      <c r="D9" s="128" t="s">
        <v>490</v>
      </c>
      <c r="E9" s="22"/>
      <c r="F9" s="22" t="s">
        <v>474</v>
      </c>
      <c r="G9" s="22"/>
      <c r="H9" s="22"/>
      <c r="I9" s="124"/>
      <c r="J9" s="127"/>
      <c r="K9" s="124"/>
      <c r="L9" s="124"/>
      <c r="M9" s="124"/>
      <c r="N9" s="22" t="s">
        <v>206</v>
      </c>
      <c r="O9" s="124" t="s">
        <v>476</v>
      </c>
      <c r="P9" s="124"/>
      <c r="Q9" s="124" t="s">
        <v>476</v>
      </c>
      <c r="R9" s="124"/>
      <c r="S9" s="124" t="s">
        <v>491</v>
      </c>
      <c r="T9" s="124"/>
      <c r="U9" s="124" t="s">
        <v>492</v>
      </c>
      <c r="V9" s="124"/>
      <c r="W9" s="124" t="s">
        <v>493</v>
      </c>
      <c r="X9" s="124"/>
    </row>
    <row r="10" spans="2:24" ht="47.25">
      <c r="B10" s="130" t="s">
        <v>494</v>
      </c>
      <c r="C10" s="22"/>
      <c r="D10" s="128" t="s">
        <v>495</v>
      </c>
      <c r="E10" s="22"/>
      <c r="F10" s="128"/>
      <c r="G10" s="22"/>
      <c r="H10" s="22" t="s">
        <v>496</v>
      </c>
      <c r="I10" s="22"/>
      <c r="J10" s="113">
        <v>0</v>
      </c>
      <c r="K10" s="124"/>
      <c r="L10" s="124">
        <v>90</v>
      </c>
      <c r="M10" s="124"/>
      <c r="N10" s="22" t="s">
        <v>497</v>
      </c>
      <c r="O10" s="124" t="s">
        <v>476</v>
      </c>
      <c r="P10" s="124"/>
      <c r="R10" s="124"/>
      <c r="S10" s="124" t="s">
        <v>498</v>
      </c>
      <c r="T10" s="124"/>
      <c r="U10" s="124" t="s">
        <v>499</v>
      </c>
      <c r="V10" s="124"/>
      <c r="W10" s="124" t="s">
        <v>500</v>
      </c>
      <c r="X10" s="124"/>
    </row>
    <row r="11" spans="2:24" ht="63">
      <c r="B11" s="123" t="s">
        <v>501</v>
      </c>
      <c r="C11" s="22"/>
      <c r="D11" s="128" t="s">
        <v>502</v>
      </c>
      <c r="E11" s="22"/>
      <c r="F11" s="22"/>
      <c r="G11" s="22"/>
      <c r="H11" s="22" t="s">
        <v>503</v>
      </c>
      <c r="I11" s="124"/>
      <c r="J11" s="124">
        <v>0</v>
      </c>
      <c r="K11" s="124"/>
      <c r="L11" s="124">
        <v>80</v>
      </c>
      <c r="M11" s="124"/>
      <c r="N11" s="22" t="s">
        <v>497</v>
      </c>
      <c r="O11" s="124" t="s">
        <v>476</v>
      </c>
      <c r="P11" s="124"/>
      <c r="Q11" s="124" t="s">
        <v>476</v>
      </c>
      <c r="R11" s="124"/>
      <c r="S11" s="124" t="s">
        <v>504</v>
      </c>
      <c r="T11" s="124"/>
      <c r="U11" s="124" t="s">
        <v>505</v>
      </c>
      <c r="V11" s="124"/>
      <c r="W11" s="124" t="s">
        <v>506</v>
      </c>
      <c r="X11" s="124"/>
    </row>
    <row r="12" spans="2:24" ht="40.5">
      <c r="B12" s="123" t="s">
        <v>507</v>
      </c>
      <c r="C12" s="22"/>
      <c r="D12" s="131" t="s">
        <v>508</v>
      </c>
      <c r="E12" s="22"/>
      <c r="F12" s="22"/>
      <c r="G12" s="22"/>
      <c r="H12" s="22" t="s">
        <v>509</v>
      </c>
      <c r="I12" s="124"/>
      <c r="J12" s="124">
        <v>0</v>
      </c>
      <c r="K12" s="124"/>
      <c r="L12" s="124">
        <v>100</v>
      </c>
      <c r="M12" s="124"/>
      <c r="N12" s="132" t="s">
        <v>497</v>
      </c>
      <c r="O12" s="124" t="s">
        <v>476</v>
      </c>
      <c r="P12" s="124"/>
      <c r="Q12" s="124" t="s">
        <v>476</v>
      </c>
      <c r="R12" s="124"/>
      <c r="S12" s="124" t="s">
        <v>510</v>
      </c>
      <c r="T12" s="124"/>
      <c r="U12" s="113" t="s">
        <v>511</v>
      </c>
      <c r="V12" s="124"/>
      <c r="W12" s="124" t="s">
        <v>512</v>
      </c>
      <c r="X12" s="124"/>
    </row>
    <row r="13" spans="2:24" ht="20.25">
      <c r="B13" s="123"/>
      <c r="C13" s="124"/>
      <c r="D13" s="125" t="s">
        <v>513</v>
      </c>
      <c r="E13" s="22"/>
      <c r="F13" s="22"/>
      <c r="G13" s="22"/>
      <c r="H13" s="22" t="s">
        <v>503</v>
      </c>
      <c r="I13" s="124"/>
      <c r="J13" s="124">
        <v>0</v>
      </c>
      <c r="K13" s="124"/>
      <c r="L13" s="124">
        <v>500</v>
      </c>
      <c r="M13" s="124"/>
      <c r="N13" s="132" t="s">
        <v>497</v>
      </c>
      <c r="O13" s="124" t="s">
        <v>476</v>
      </c>
      <c r="P13" s="124"/>
      <c r="Q13" s="124" t="s">
        <v>476</v>
      </c>
      <c r="R13" s="124"/>
      <c r="S13" s="124" t="s">
        <v>514</v>
      </c>
      <c r="T13" s="124"/>
      <c r="U13" s="124" t="s">
        <v>515</v>
      </c>
      <c r="V13" s="124"/>
      <c r="W13" s="124"/>
      <c r="X13" s="124"/>
    </row>
    <row r="14" spans="2:24" s="137" customFormat="1" ht="47.25">
      <c r="B14" s="133" t="s">
        <v>516</v>
      </c>
      <c r="C14" s="134"/>
      <c r="D14" s="135" t="s">
        <v>517</v>
      </c>
      <c r="E14" s="134"/>
      <c r="F14" s="134"/>
      <c r="G14" s="134"/>
      <c r="H14" s="134" t="s">
        <v>518</v>
      </c>
      <c r="I14" s="134"/>
      <c r="J14" s="134">
        <v>0</v>
      </c>
      <c r="K14" s="134"/>
      <c r="L14" s="134">
        <v>4000</v>
      </c>
      <c r="M14" s="134"/>
      <c r="N14" s="134" t="s">
        <v>497</v>
      </c>
      <c r="O14" s="136" t="s">
        <v>519</v>
      </c>
      <c r="P14" s="136"/>
      <c r="Q14" s="136" t="s">
        <v>476</v>
      </c>
      <c r="R14" s="134"/>
      <c r="S14" s="134" t="s">
        <v>520</v>
      </c>
      <c r="T14" s="134"/>
      <c r="U14" s="134" t="s">
        <v>521</v>
      </c>
      <c r="V14" s="134"/>
      <c r="W14" s="134" t="s">
        <v>522</v>
      </c>
      <c r="X14" s="134"/>
    </row>
    <row r="15" spans="2:24" s="124" customFormat="1" ht="40.5">
      <c r="B15" s="138" t="s">
        <v>523</v>
      </c>
      <c r="D15" s="126" t="s">
        <v>524</v>
      </c>
      <c r="H15" s="124" t="s">
        <v>525</v>
      </c>
      <c r="J15" s="124">
        <v>0</v>
      </c>
      <c r="L15" s="124">
        <v>2</v>
      </c>
      <c r="N15" s="124" t="s">
        <v>312</v>
      </c>
      <c r="O15" s="124" t="s">
        <v>526</v>
      </c>
    </row>
    <row r="16" spans="2:24" ht="47.25">
      <c r="B16" s="123" t="s">
        <v>527</v>
      </c>
      <c r="C16" s="124"/>
      <c r="D16" s="125" t="s">
        <v>528</v>
      </c>
      <c r="E16" s="22"/>
      <c r="F16" s="22" t="s">
        <v>474</v>
      </c>
      <c r="G16" s="22"/>
      <c r="H16" s="22"/>
      <c r="I16" s="124"/>
      <c r="J16" s="124"/>
      <c r="K16" s="124"/>
      <c r="L16" s="124"/>
      <c r="M16" s="124"/>
      <c r="N16" s="22" t="s">
        <v>145</v>
      </c>
      <c r="O16" s="124" t="s">
        <v>476</v>
      </c>
      <c r="P16" s="124"/>
      <c r="Q16" s="124" t="s">
        <v>476</v>
      </c>
      <c r="R16" s="124"/>
      <c r="S16" s="124" t="s">
        <v>477</v>
      </c>
      <c r="T16" s="124"/>
      <c r="U16" s="124" t="s">
        <v>529</v>
      </c>
      <c r="V16" s="124"/>
      <c r="W16" s="124" t="s">
        <v>479</v>
      </c>
      <c r="X16" s="124"/>
    </row>
    <row r="17" spans="2:24" ht="47.25">
      <c r="B17" s="123" t="s">
        <v>530</v>
      </c>
      <c r="C17" s="124"/>
      <c r="D17" s="125" t="s">
        <v>531</v>
      </c>
      <c r="E17" s="22"/>
      <c r="F17" s="22" t="s">
        <v>474</v>
      </c>
      <c r="G17" s="22"/>
      <c r="H17" s="22"/>
      <c r="I17" s="124"/>
      <c r="J17" s="124"/>
      <c r="K17" s="124"/>
      <c r="L17" s="124"/>
      <c r="M17" s="124"/>
      <c r="N17" s="22" t="s">
        <v>206</v>
      </c>
      <c r="O17" s="124" t="s">
        <v>476</v>
      </c>
      <c r="P17" s="124"/>
      <c r="Q17" s="124" t="s">
        <v>476</v>
      </c>
      <c r="R17" s="124"/>
      <c r="S17" s="124" t="s">
        <v>477</v>
      </c>
      <c r="T17" s="124"/>
      <c r="U17" s="124" t="s">
        <v>532</v>
      </c>
      <c r="V17" s="124"/>
      <c r="W17" s="124" t="s">
        <v>479</v>
      </c>
      <c r="X17" s="124"/>
    </row>
  </sheetData>
  <mergeCells count="3">
    <mergeCell ref="B2:X2"/>
    <mergeCell ref="H3:M3"/>
    <mergeCell ref="B5:M5"/>
  </mergeCells>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D661-230A-41FA-90A0-64563231C831}">
  <dimension ref="B1:X30"/>
  <sheetViews>
    <sheetView showGridLines="0" zoomScale="55" zoomScaleNormal="55" workbookViewId="0">
      <pane xSplit="1" ySplit="5" topLeftCell="B6" activePane="bottomRight" state="frozen"/>
      <selection pane="topRight" activeCell="B1" sqref="B1"/>
      <selection pane="bottomLeft" activeCell="A6" sqref="A6"/>
      <selection pane="bottomRight" activeCell="N15" sqref="N15"/>
    </sheetView>
  </sheetViews>
  <sheetFormatPr defaultRowHeight="15"/>
  <cols>
    <col min="1" max="1" width="2.42578125" customWidth="1"/>
    <col min="2" max="2" width="27.7109375" customWidth="1"/>
    <col min="3" max="3" width="36.85546875" hidden="1" customWidth="1"/>
    <col min="4" max="4" width="54.42578125" bestFit="1" customWidth="1"/>
    <col min="5" max="5" width="25.5703125" hidden="1" customWidth="1"/>
    <col min="6" max="6" width="28.7109375" customWidth="1"/>
    <col min="7" max="7" width="9.140625" hidden="1" customWidth="1"/>
    <col min="8" max="8" width="19.7109375" customWidth="1"/>
    <col min="9" max="9" width="18.5703125" hidden="1" customWidth="1"/>
    <col min="10" max="10" width="22" customWidth="1"/>
    <col min="11" max="11" width="25.85546875" hidden="1" customWidth="1"/>
    <col min="12" max="12" width="26.7109375" customWidth="1"/>
    <col min="13" max="13" width="19.140625" hidden="1" customWidth="1"/>
    <col min="14" max="14" width="15.85546875" bestFit="1" customWidth="1"/>
    <col min="15" max="15" width="22.5703125" customWidth="1"/>
    <col min="16" max="16" width="0" hidden="1" customWidth="1"/>
    <col min="17" max="17" width="13" bestFit="1" customWidth="1"/>
    <col min="18" max="18" width="14.42578125" hidden="1" customWidth="1"/>
    <col min="19" max="19" width="64.5703125" customWidth="1"/>
    <col min="20" max="20" width="15.85546875" hidden="1" customWidth="1"/>
    <col min="21" max="21" width="57.7109375" style="105" customWidth="1"/>
    <col min="22" max="22" width="7" hidden="1" customWidth="1"/>
    <col min="23" max="23" width="25.28515625" customWidth="1"/>
    <col min="24" max="24" width="8.85546875" hidden="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95.2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34.5" customHeight="1">
      <c r="B5" s="139" t="s">
        <v>533</v>
      </c>
      <c r="C5" s="140"/>
      <c r="D5" s="140"/>
      <c r="E5" s="140"/>
      <c r="F5" s="140"/>
      <c r="G5" s="140"/>
      <c r="H5" s="140"/>
      <c r="I5" s="140"/>
      <c r="J5" s="140"/>
      <c r="K5" s="140"/>
      <c r="L5" s="140"/>
      <c r="M5" s="141"/>
    </row>
    <row r="6" spans="2:24" s="146" customFormat="1" ht="157.5">
      <c r="B6" s="142" t="s">
        <v>534</v>
      </c>
      <c r="C6" s="143"/>
      <c r="D6" s="131" t="s">
        <v>535</v>
      </c>
      <c r="E6" s="143"/>
      <c r="F6" s="144" t="s">
        <v>536</v>
      </c>
      <c r="G6" s="143"/>
      <c r="H6" s="144" t="s">
        <v>28</v>
      </c>
      <c r="I6" s="143"/>
      <c r="J6" s="144" t="s">
        <v>28</v>
      </c>
      <c r="K6" s="143"/>
      <c r="L6" s="144" t="s">
        <v>28</v>
      </c>
      <c r="M6" s="143"/>
      <c r="N6" s="131" t="s">
        <v>537</v>
      </c>
      <c r="O6" s="132" t="s">
        <v>538</v>
      </c>
      <c r="P6" s="131"/>
      <c r="Q6" s="131" t="s">
        <v>539</v>
      </c>
      <c r="R6" s="131"/>
      <c r="S6" s="131" t="s">
        <v>540</v>
      </c>
      <c r="T6" s="145"/>
      <c r="U6" s="131" t="s">
        <v>541</v>
      </c>
      <c r="V6" s="145"/>
      <c r="W6" s="132" t="s">
        <v>542</v>
      </c>
      <c r="X6" s="145"/>
    </row>
    <row r="7" spans="2:24" s="146" customFormat="1" ht="126">
      <c r="B7" s="142" t="s">
        <v>534</v>
      </c>
      <c r="C7" s="143"/>
      <c r="D7" s="131" t="s">
        <v>543</v>
      </c>
      <c r="E7" s="143"/>
      <c r="F7" s="144" t="s">
        <v>544</v>
      </c>
      <c r="G7" s="143"/>
      <c r="H7" s="144" t="s">
        <v>28</v>
      </c>
      <c r="I7" s="143"/>
      <c r="J7" s="144" t="s">
        <v>28</v>
      </c>
      <c r="K7" s="143"/>
      <c r="L7" s="144" t="s">
        <v>28</v>
      </c>
      <c r="M7" s="143"/>
      <c r="N7" s="131" t="s">
        <v>545</v>
      </c>
      <c r="O7" s="132" t="s">
        <v>546</v>
      </c>
      <c r="P7" s="131"/>
      <c r="Q7" s="131" t="s">
        <v>547</v>
      </c>
      <c r="R7" s="131"/>
      <c r="S7" s="131" t="s">
        <v>548</v>
      </c>
      <c r="T7" s="145"/>
      <c r="U7" s="131" t="s">
        <v>549</v>
      </c>
      <c r="V7" s="145"/>
      <c r="W7" s="132" t="s">
        <v>550</v>
      </c>
      <c r="X7" s="145"/>
    </row>
    <row r="8" spans="2:24" s="146" customFormat="1" ht="94.5" hidden="1">
      <c r="B8" s="142" t="s">
        <v>534</v>
      </c>
      <c r="C8" s="143"/>
      <c r="D8" s="131" t="s">
        <v>551</v>
      </c>
      <c r="E8" s="143"/>
      <c r="F8" s="144" t="s">
        <v>552</v>
      </c>
      <c r="G8" s="143"/>
      <c r="H8" s="144" t="s">
        <v>28</v>
      </c>
      <c r="I8" s="143"/>
      <c r="J8" s="144" t="s">
        <v>28</v>
      </c>
      <c r="K8" s="143"/>
      <c r="L8" s="144" t="s">
        <v>28</v>
      </c>
      <c r="M8" s="143"/>
      <c r="N8" s="131" t="s">
        <v>171</v>
      </c>
      <c r="O8" s="132" t="s">
        <v>547</v>
      </c>
      <c r="P8" s="131"/>
      <c r="Q8" s="131" t="s">
        <v>547</v>
      </c>
      <c r="R8" s="131"/>
      <c r="S8" s="131" t="s">
        <v>553</v>
      </c>
      <c r="T8" s="145"/>
      <c r="U8" s="131" t="s">
        <v>554</v>
      </c>
      <c r="V8" s="145"/>
      <c r="W8" s="132" t="s">
        <v>555</v>
      </c>
      <c r="X8" s="145"/>
    </row>
    <row r="9" spans="2:24" s="146" customFormat="1" ht="141.75" hidden="1">
      <c r="B9" s="142" t="s">
        <v>534</v>
      </c>
      <c r="C9" s="143"/>
      <c r="D9" s="131" t="s">
        <v>556</v>
      </c>
      <c r="E9" s="143"/>
      <c r="F9" s="131" t="s">
        <v>557</v>
      </c>
      <c r="G9" s="143"/>
      <c r="H9" s="144" t="s">
        <v>28</v>
      </c>
      <c r="I9" s="143"/>
      <c r="J9" s="144" t="s">
        <v>28</v>
      </c>
      <c r="K9" s="143"/>
      <c r="L9" s="144" t="s">
        <v>28</v>
      </c>
      <c r="M9" s="143"/>
      <c r="N9" s="147" t="s">
        <v>545</v>
      </c>
      <c r="O9" s="132" t="s">
        <v>547</v>
      </c>
      <c r="P9" s="145"/>
      <c r="Q9" s="131" t="s">
        <v>547</v>
      </c>
      <c r="R9" s="145"/>
      <c r="S9" s="131" t="s">
        <v>558</v>
      </c>
      <c r="T9" s="145"/>
      <c r="U9" s="131" t="s">
        <v>559</v>
      </c>
      <c r="V9" s="145"/>
      <c r="W9" s="132" t="s">
        <v>555</v>
      </c>
      <c r="X9" s="145"/>
    </row>
    <row r="10" spans="2:24" s="146" customFormat="1" ht="126">
      <c r="B10" s="142" t="s">
        <v>534</v>
      </c>
      <c r="C10" s="143"/>
      <c r="D10" s="144" t="s">
        <v>560</v>
      </c>
      <c r="E10" s="143"/>
      <c r="F10" s="144" t="s">
        <v>28</v>
      </c>
      <c r="G10" s="143"/>
      <c r="H10" s="144" t="s">
        <v>561</v>
      </c>
      <c r="I10" s="143"/>
      <c r="J10" s="144" t="s">
        <v>28</v>
      </c>
      <c r="K10" s="143"/>
      <c r="L10" s="148">
        <v>2023</v>
      </c>
      <c r="M10" s="143"/>
      <c r="N10" s="149" t="s">
        <v>545</v>
      </c>
      <c r="O10" s="132" t="s">
        <v>562</v>
      </c>
      <c r="P10" s="145"/>
      <c r="Q10" s="131" t="s">
        <v>547</v>
      </c>
      <c r="R10" s="145"/>
      <c r="S10" s="131" t="s">
        <v>563</v>
      </c>
      <c r="T10" s="145"/>
      <c r="U10" s="131" t="s">
        <v>564</v>
      </c>
      <c r="V10" s="145"/>
      <c r="W10" s="132" t="s">
        <v>565</v>
      </c>
      <c r="X10" s="145"/>
    </row>
    <row r="11" spans="2:24" s="146" customFormat="1" ht="78.75" hidden="1">
      <c r="B11" s="144" t="s">
        <v>566</v>
      </c>
      <c r="C11" s="143"/>
      <c r="D11" s="103" t="s">
        <v>567</v>
      </c>
      <c r="E11" s="106"/>
      <c r="F11" s="103" t="s">
        <v>28</v>
      </c>
      <c r="G11" s="106"/>
      <c r="H11" s="103" t="s">
        <v>568</v>
      </c>
      <c r="I11" s="106"/>
      <c r="J11" s="103">
        <v>0</v>
      </c>
      <c r="K11" s="106"/>
      <c r="L11" s="150">
        <v>0.7</v>
      </c>
      <c r="M11" s="106"/>
      <c r="N11" s="103" t="s">
        <v>569</v>
      </c>
      <c r="O11" s="124" t="s">
        <v>547</v>
      </c>
      <c r="P11" s="109"/>
      <c r="Q11" s="109" t="s">
        <v>547</v>
      </c>
      <c r="R11" s="109"/>
      <c r="S11" s="109" t="s">
        <v>570</v>
      </c>
      <c r="T11" s="109"/>
      <c r="U11" s="109" t="s">
        <v>571</v>
      </c>
      <c r="V11" s="109"/>
      <c r="W11" s="109" t="s">
        <v>572</v>
      </c>
      <c r="X11" s="145"/>
    </row>
    <row r="12" spans="2:24" s="146" customFormat="1" ht="78.75" hidden="1">
      <c r="B12" s="144" t="s">
        <v>566</v>
      </c>
      <c r="C12" s="143"/>
      <c r="D12" s="103" t="s">
        <v>573</v>
      </c>
      <c r="E12" s="106"/>
      <c r="F12" s="103" t="s">
        <v>28</v>
      </c>
      <c r="G12" s="106"/>
      <c r="H12" s="103" t="s">
        <v>574</v>
      </c>
      <c r="I12" s="106"/>
      <c r="J12" s="103">
        <v>0</v>
      </c>
      <c r="K12" s="106"/>
      <c r="L12" s="103">
        <v>200</v>
      </c>
      <c r="M12" s="106"/>
      <c r="N12" s="103" t="s">
        <v>569</v>
      </c>
      <c r="O12" s="124" t="s">
        <v>547</v>
      </c>
      <c r="P12" s="109"/>
      <c r="Q12" s="109" t="s">
        <v>547</v>
      </c>
      <c r="R12" s="109"/>
      <c r="S12" s="109" t="s">
        <v>575</v>
      </c>
      <c r="T12" s="109"/>
      <c r="U12" s="109" t="s">
        <v>576</v>
      </c>
      <c r="V12" s="109"/>
      <c r="W12" s="109" t="s">
        <v>572</v>
      </c>
      <c r="X12" s="145"/>
    </row>
    <row r="13" spans="2:24" s="146" customFormat="1" ht="63" hidden="1">
      <c r="B13" s="144" t="s">
        <v>577</v>
      </c>
      <c r="C13" s="143"/>
      <c r="D13" s="131" t="s">
        <v>578</v>
      </c>
      <c r="E13" s="143"/>
      <c r="F13" s="131" t="s">
        <v>579</v>
      </c>
      <c r="G13" s="143"/>
      <c r="H13" s="144" t="s">
        <v>28</v>
      </c>
      <c r="I13" s="143"/>
      <c r="J13" s="144" t="s">
        <v>28</v>
      </c>
      <c r="K13" s="143"/>
      <c r="L13" s="144" t="s">
        <v>28</v>
      </c>
      <c r="M13" s="143"/>
      <c r="N13" s="147" t="s">
        <v>537</v>
      </c>
      <c r="O13" s="144" t="s">
        <v>547</v>
      </c>
      <c r="P13" s="143"/>
      <c r="Q13" s="144" t="s">
        <v>547</v>
      </c>
      <c r="R13" s="143"/>
      <c r="S13" s="144" t="s">
        <v>580</v>
      </c>
      <c r="T13" s="143"/>
      <c r="U13" s="131" t="s">
        <v>541</v>
      </c>
      <c r="V13" s="143"/>
      <c r="W13" s="132" t="s">
        <v>581</v>
      </c>
      <c r="X13" s="143"/>
    </row>
    <row r="14" spans="2:24" s="146" customFormat="1" ht="94.5">
      <c r="B14" s="144" t="s">
        <v>577</v>
      </c>
      <c r="C14" s="143"/>
      <c r="D14" s="144" t="s">
        <v>582</v>
      </c>
      <c r="E14" s="143"/>
      <c r="F14" s="144" t="s">
        <v>583</v>
      </c>
      <c r="G14" s="143"/>
      <c r="H14" s="144" t="s">
        <v>28</v>
      </c>
      <c r="I14" s="143"/>
      <c r="J14" s="144" t="s">
        <v>28</v>
      </c>
      <c r="K14" s="143"/>
      <c r="L14" s="144" t="s">
        <v>28</v>
      </c>
      <c r="M14" s="143"/>
      <c r="N14" s="144" t="s">
        <v>142</v>
      </c>
      <c r="O14" s="144" t="s">
        <v>584</v>
      </c>
      <c r="P14" s="143"/>
      <c r="Q14" s="144" t="s">
        <v>547</v>
      </c>
      <c r="R14" s="143"/>
      <c r="S14" s="144" t="s">
        <v>585</v>
      </c>
      <c r="T14" s="143"/>
      <c r="U14" s="131" t="s">
        <v>586</v>
      </c>
      <c r="V14" s="143"/>
      <c r="W14" s="132" t="s">
        <v>587</v>
      </c>
      <c r="X14" s="143"/>
    </row>
    <row r="15" spans="2:24" s="146" customFormat="1" ht="94.5">
      <c r="B15" s="144" t="s">
        <v>577</v>
      </c>
      <c r="C15" s="143"/>
      <c r="D15" s="144" t="s">
        <v>588</v>
      </c>
      <c r="E15" s="143"/>
      <c r="F15" s="144" t="s">
        <v>589</v>
      </c>
      <c r="G15" s="143"/>
      <c r="H15" s="144" t="s">
        <v>28</v>
      </c>
      <c r="I15" s="143"/>
      <c r="J15" s="144" t="s">
        <v>28</v>
      </c>
      <c r="K15" s="143"/>
      <c r="L15" s="144" t="s">
        <v>28</v>
      </c>
      <c r="M15" s="143"/>
      <c r="N15" s="144" t="s">
        <v>545</v>
      </c>
      <c r="O15" s="144" t="s">
        <v>590</v>
      </c>
      <c r="P15" s="143"/>
      <c r="Q15" s="144" t="s">
        <v>547</v>
      </c>
      <c r="R15" s="143"/>
      <c r="S15" s="144" t="s">
        <v>591</v>
      </c>
      <c r="T15" s="143"/>
      <c r="U15" s="151" t="s">
        <v>592</v>
      </c>
      <c r="V15" s="143"/>
      <c r="W15" s="132" t="s">
        <v>593</v>
      </c>
      <c r="X15" s="143"/>
    </row>
    <row r="16" spans="2:24" s="146" customFormat="1" ht="47.25">
      <c r="B16" s="144" t="s">
        <v>577</v>
      </c>
      <c r="C16" s="143"/>
      <c r="D16" s="144" t="s">
        <v>594</v>
      </c>
      <c r="E16" s="143"/>
      <c r="F16" s="144" t="s">
        <v>28</v>
      </c>
      <c r="G16" s="143"/>
      <c r="H16" s="144" t="s">
        <v>595</v>
      </c>
      <c r="I16" s="143"/>
      <c r="J16" s="144">
        <v>0</v>
      </c>
      <c r="K16" s="143"/>
      <c r="L16" s="144">
        <v>1</v>
      </c>
      <c r="M16" s="143"/>
      <c r="N16" s="144" t="s">
        <v>545</v>
      </c>
      <c r="O16" s="144" t="s">
        <v>590</v>
      </c>
      <c r="P16" s="143"/>
      <c r="Q16" s="144" t="s">
        <v>547</v>
      </c>
      <c r="R16" s="143"/>
      <c r="S16" s="144" t="s">
        <v>596</v>
      </c>
      <c r="T16" s="143"/>
      <c r="U16" s="131" t="s">
        <v>597</v>
      </c>
      <c r="V16" s="143"/>
      <c r="W16" s="132" t="s">
        <v>593</v>
      </c>
      <c r="X16" s="143"/>
    </row>
    <row r="17" spans="2:24" s="146" customFormat="1" ht="63" hidden="1">
      <c r="B17" s="152" t="s">
        <v>598</v>
      </c>
      <c r="C17" s="153"/>
      <c r="D17" s="152" t="s">
        <v>599</v>
      </c>
      <c r="E17" s="153"/>
      <c r="F17" s="152" t="s">
        <v>600</v>
      </c>
      <c r="G17" s="153"/>
      <c r="H17" s="154" t="s">
        <v>28</v>
      </c>
      <c r="I17" s="153"/>
      <c r="J17" s="154" t="s">
        <v>28</v>
      </c>
      <c r="K17" s="153"/>
      <c r="L17" s="154" t="s">
        <v>28</v>
      </c>
      <c r="M17" s="153"/>
      <c r="N17" s="152" t="s">
        <v>537</v>
      </c>
      <c r="O17" s="154" t="s">
        <v>547</v>
      </c>
      <c r="P17" s="153"/>
      <c r="Q17" s="154" t="s">
        <v>547</v>
      </c>
      <c r="R17" s="153"/>
      <c r="S17" s="155" t="s">
        <v>601</v>
      </c>
      <c r="T17" s="156"/>
      <c r="U17" s="157" t="s">
        <v>602</v>
      </c>
      <c r="V17" s="156"/>
      <c r="W17" s="158" t="s">
        <v>603</v>
      </c>
      <c r="X17" s="143"/>
    </row>
    <row r="18" spans="2:24" s="146" customFormat="1" ht="63" hidden="1">
      <c r="B18" s="152" t="s">
        <v>598</v>
      </c>
      <c r="C18" s="153"/>
      <c r="D18" s="152" t="s">
        <v>604</v>
      </c>
      <c r="E18" s="153"/>
      <c r="F18" s="152" t="s">
        <v>605</v>
      </c>
      <c r="G18" s="153"/>
      <c r="H18" s="154" t="s">
        <v>28</v>
      </c>
      <c r="I18" s="153"/>
      <c r="J18" s="154" t="s">
        <v>28</v>
      </c>
      <c r="K18" s="153"/>
      <c r="L18" s="154" t="s">
        <v>28</v>
      </c>
      <c r="M18" s="153"/>
      <c r="N18" s="159" t="s">
        <v>142</v>
      </c>
      <c r="O18" s="154" t="s">
        <v>547</v>
      </c>
      <c r="P18" s="153"/>
      <c r="Q18" s="154" t="s">
        <v>547</v>
      </c>
      <c r="R18" s="153"/>
      <c r="S18" s="152" t="s">
        <v>606</v>
      </c>
      <c r="T18" s="156"/>
      <c r="U18" s="152" t="s">
        <v>541</v>
      </c>
      <c r="V18" s="156"/>
      <c r="W18" s="158" t="s">
        <v>581</v>
      </c>
      <c r="X18" s="143"/>
    </row>
    <row r="19" spans="2:24" s="146" customFormat="1" ht="94.5" hidden="1">
      <c r="B19" s="152" t="s">
        <v>598</v>
      </c>
      <c r="C19" s="153"/>
      <c r="D19" s="152" t="s">
        <v>582</v>
      </c>
      <c r="E19" s="153"/>
      <c r="F19" s="152" t="s">
        <v>607</v>
      </c>
      <c r="G19" s="153"/>
      <c r="H19" s="154" t="s">
        <v>28</v>
      </c>
      <c r="I19" s="153"/>
      <c r="J19" s="154" t="s">
        <v>28</v>
      </c>
      <c r="K19" s="153"/>
      <c r="L19" s="154" t="s">
        <v>28</v>
      </c>
      <c r="M19" s="153"/>
      <c r="N19" s="152" t="s">
        <v>171</v>
      </c>
      <c r="O19" s="154" t="s">
        <v>547</v>
      </c>
      <c r="P19" s="153"/>
      <c r="Q19" s="154" t="s">
        <v>547</v>
      </c>
      <c r="R19" s="153"/>
      <c r="S19" s="152" t="s">
        <v>608</v>
      </c>
      <c r="T19" s="156"/>
      <c r="U19" s="152" t="s">
        <v>586</v>
      </c>
      <c r="V19" s="156"/>
      <c r="W19" s="158" t="s">
        <v>581</v>
      </c>
      <c r="X19" s="143"/>
    </row>
    <row r="20" spans="2:24" s="146" customFormat="1" ht="47.25" hidden="1">
      <c r="B20" s="152" t="s">
        <v>598</v>
      </c>
      <c r="C20" s="153"/>
      <c r="D20" s="152" t="s">
        <v>609</v>
      </c>
      <c r="E20" s="153"/>
      <c r="F20" s="152" t="s">
        <v>610</v>
      </c>
      <c r="G20" s="153"/>
      <c r="H20" s="154" t="s">
        <v>28</v>
      </c>
      <c r="I20" s="153"/>
      <c r="J20" s="154" t="s">
        <v>28</v>
      </c>
      <c r="K20" s="153"/>
      <c r="L20" s="154" t="s">
        <v>28</v>
      </c>
      <c r="M20" s="153"/>
      <c r="N20" s="152" t="s">
        <v>545</v>
      </c>
      <c r="O20" s="154" t="s">
        <v>547</v>
      </c>
      <c r="P20" s="153"/>
      <c r="Q20" s="154" t="s">
        <v>547</v>
      </c>
      <c r="R20" s="153"/>
      <c r="S20" s="155" t="s">
        <v>611</v>
      </c>
      <c r="T20" s="156"/>
      <c r="U20" s="155" t="s">
        <v>612</v>
      </c>
      <c r="V20" s="156"/>
      <c r="W20" s="158" t="s">
        <v>581</v>
      </c>
      <c r="X20" s="143"/>
    </row>
    <row r="21" spans="2:24" s="146" customFormat="1" ht="47.25" hidden="1">
      <c r="B21" s="154" t="s">
        <v>598</v>
      </c>
      <c r="C21" s="153"/>
      <c r="D21" s="154" t="s">
        <v>613</v>
      </c>
      <c r="E21" s="153"/>
      <c r="F21" s="154" t="s">
        <v>28</v>
      </c>
      <c r="G21" s="153"/>
      <c r="H21" s="154" t="s">
        <v>614</v>
      </c>
      <c r="I21" s="153"/>
      <c r="J21" s="154">
        <v>0</v>
      </c>
      <c r="K21" s="153"/>
      <c r="L21" s="154">
        <v>400</v>
      </c>
      <c r="M21" s="153"/>
      <c r="N21" s="154" t="s">
        <v>545</v>
      </c>
      <c r="O21" s="154" t="s">
        <v>547</v>
      </c>
      <c r="P21" s="153"/>
      <c r="Q21" s="154" t="s">
        <v>547</v>
      </c>
      <c r="R21" s="153"/>
      <c r="S21" s="155" t="s">
        <v>615</v>
      </c>
      <c r="T21" s="156"/>
      <c r="U21" s="155" t="s">
        <v>612</v>
      </c>
      <c r="V21" s="156"/>
      <c r="W21" s="158" t="s">
        <v>616</v>
      </c>
      <c r="X21" s="143"/>
    </row>
    <row r="22" spans="2:24" s="146" customFormat="1" ht="166.5" customHeight="1">
      <c r="B22" s="144" t="s">
        <v>617</v>
      </c>
      <c r="C22" s="143"/>
      <c r="D22" s="131" t="s">
        <v>618</v>
      </c>
      <c r="E22" s="147"/>
      <c r="F22" s="131" t="s">
        <v>619</v>
      </c>
      <c r="G22" s="147"/>
      <c r="H22" s="131" t="s">
        <v>28</v>
      </c>
      <c r="I22" s="147"/>
      <c r="J22" s="131" t="s">
        <v>28</v>
      </c>
      <c r="K22" s="147"/>
      <c r="L22" s="131" t="s">
        <v>28</v>
      </c>
      <c r="M22" s="147"/>
      <c r="N22" s="131" t="s">
        <v>142</v>
      </c>
      <c r="O22" s="131" t="s">
        <v>620</v>
      </c>
      <c r="P22" s="147"/>
      <c r="Q22" s="131" t="s">
        <v>539</v>
      </c>
      <c r="R22" s="147"/>
      <c r="S22" s="131" t="s">
        <v>621</v>
      </c>
      <c r="T22" s="147"/>
      <c r="U22" s="131" t="s">
        <v>622</v>
      </c>
      <c r="V22" s="147"/>
      <c r="W22" s="131" t="s">
        <v>623</v>
      </c>
      <c r="X22" s="143"/>
    </row>
    <row r="23" spans="2:24" s="146" customFormat="1" ht="94.5">
      <c r="B23" s="144" t="s">
        <v>617</v>
      </c>
      <c r="C23" s="143"/>
      <c r="D23" s="131" t="s">
        <v>624</v>
      </c>
      <c r="E23" s="147"/>
      <c r="F23" s="131" t="s">
        <v>625</v>
      </c>
      <c r="G23" s="147"/>
      <c r="H23" s="131" t="s">
        <v>28</v>
      </c>
      <c r="I23" s="147"/>
      <c r="J23" s="131" t="s">
        <v>28</v>
      </c>
      <c r="K23" s="147"/>
      <c r="L23" s="131" t="s">
        <v>28</v>
      </c>
      <c r="M23" s="147"/>
      <c r="N23" s="131" t="s">
        <v>545</v>
      </c>
      <c r="O23" s="131" t="s">
        <v>626</v>
      </c>
      <c r="P23" s="131"/>
      <c r="Q23" s="131" t="s">
        <v>627</v>
      </c>
      <c r="R23" s="131"/>
      <c r="S23" s="131" t="s">
        <v>628</v>
      </c>
      <c r="T23" s="131"/>
      <c r="U23" s="131" t="s">
        <v>629</v>
      </c>
      <c r="V23" s="131"/>
      <c r="W23" s="131" t="s">
        <v>630</v>
      </c>
      <c r="X23" s="160"/>
    </row>
    <row r="24" spans="2:24" s="146" customFormat="1" ht="102.75" customHeight="1">
      <c r="B24" s="144" t="s">
        <v>617</v>
      </c>
      <c r="C24" s="143"/>
      <c r="D24" s="144" t="s">
        <v>631</v>
      </c>
      <c r="E24" s="143"/>
      <c r="F24" s="144" t="s">
        <v>28</v>
      </c>
      <c r="G24" s="143"/>
      <c r="H24" s="144" t="s">
        <v>632</v>
      </c>
      <c r="I24" s="143"/>
      <c r="J24" s="144">
        <v>0</v>
      </c>
      <c r="K24" s="143"/>
      <c r="L24" s="144">
        <v>0.7</v>
      </c>
      <c r="M24" s="143"/>
      <c r="N24" s="144" t="s">
        <v>312</v>
      </c>
      <c r="O24" s="132" t="s">
        <v>633</v>
      </c>
      <c r="P24" s="131"/>
      <c r="Q24" s="131" t="s">
        <v>547</v>
      </c>
      <c r="R24" s="131"/>
      <c r="S24" s="131" t="s">
        <v>634</v>
      </c>
      <c r="T24" s="131"/>
      <c r="U24" s="131" t="s">
        <v>635</v>
      </c>
      <c r="V24" s="131"/>
      <c r="W24" s="131" t="s">
        <v>636</v>
      </c>
      <c r="X24" s="160"/>
    </row>
    <row r="25" spans="2:24" s="146" customFormat="1" ht="279.75" customHeight="1">
      <c r="B25" s="144" t="s">
        <v>637</v>
      </c>
      <c r="C25" s="143"/>
      <c r="D25" s="144" t="s">
        <v>638</v>
      </c>
      <c r="E25" s="143"/>
      <c r="F25" s="131" t="s">
        <v>639</v>
      </c>
      <c r="G25" s="143"/>
      <c r="H25" s="131" t="s">
        <v>28</v>
      </c>
      <c r="I25" s="143"/>
      <c r="J25" s="131" t="s">
        <v>28</v>
      </c>
      <c r="K25" s="143"/>
      <c r="L25" s="131" t="s">
        <v>28</v>
      </c>
      <c r="M25" s="143"/>
      <c r="N25" s="161" t="s">
        <v>312</v>
      </c>
      <c r="O25" s="131" t="s">
        <v>640</v>
      </c>
      <c r="P25" s="162"/>
      <c r="Q25" s="131" t="s">
        <v>641</v>
      </c>
      <c r="R25" s="162"/>
      <c r="S25" s="163" t="s">
        <v>642</v>
      </c>
      <c r="T25" s="162"/>
      <c r="U25" s="131" t="s">
        <v>643</v>
      </c>
      <c r="V25" s="162"/>
      <c r="W25" s="131" t="s">
        <v>587</v>
      </c>
      <c r="X25" s="162"/>
    </row>
    <row r="26" spans="2:24" s="146" customFormat="1" ht="157.5" hidden="1">
      <c r="B26" s="144" t="s">
        <v>637</v>
      </c>
      <c r="C26" s="143"/>
      <c r="D26" s="164" t="s">
        <v>644</v>
      </c>
      <c r="E26" s="165"/>
      <c r="F26" s="164" t="s">
        <v>645</v>
      </c>
      <c r="G26" s="165"/>
      <c r="H26" s="164" t="s">
        <v>28</v>
      </c>
      <c r="I26" s="165"/>
      <c r="J26" s="164" t="s">
        <v>28</v>
      </c>
      <c r="K26" s="165"/>
      <c r="L26" s="164" t="s">
        <v>28</v>
      </c>
      <c r="M26" s="165"/>
      <c r="N26" s="164" t="s">
        <v>312</v>
      </c>
      <c r="O26" s="166" t="s">
        <v>539</v>
      </c>
      <c r="P26" s="167"/>
      <c r="Q26" s="166" t="s">
        <v>539</v>
      </c>
      <c r="R26" s="167"/>
      <c r="S26" s="168" t="s">
        <v>646</v>
      </c>
      <c r="T26" s="162"/>
      <c r="U26" s="168" t="s">
        <v>647</v>
      </c>
      <c r="V26" s="167"/>
      <c r="W26" s="168" t="s">
        <v>581</v>
      </c>
      <c r="X26" s="162"/>
    </row>
    <row r="27" spans="2:24" s="146" customFormat="1" ht="346.5">
      <c r="B27" s="169" t="s">
        <v>637</v>
      </c>
      <c r="C27" s="143"/>
      <c r="D27" s="144" t="s">
        <v>648</v>
      </c>
      <c r="E27" s="143"/>
      <c r="F27" s="131" t="s">
        <v>649</v>
      </c>
      <c r="G27" s="143"/>
      <c r="H27" s="144" t="s">
        <v>28</v>
      </c>
      <c r="I27" s="143"/>
      <c r="J27" s="144" t="s">
        <v>28</v>
      </c>
      <c r="K27" s="143"/>
      <c r="L27" s="144" t="s">
        <v>28</v>
      </c>
      <c r="M27" s="143"/>
      <c r="N27" s="144" t="s">
        <v>145</v>
      </c>
      <c r="O27" s="131" t="s">
        <v>650</v>
      </c>
      <c r="P27" s="131" t="s">
        <v>651</v>
      </c>
      <c r="Q27" s="131" t="s">
        <v>641</v>
      </c>
      <c r="R27" s="162"/>
      <c r="S27" s="131" t="s">
        <v>652</v>
      </c>
      <c r="T27" s="162"/>
      <c r="U27" s="131" t="s">
        <v>653</v>
      </c>
      <c r="V27" s="143"/>
      <c r="W27" s="131" t="s">
        <v>654</v>
      </c>
      <c r="X27" s="162"/>
    </row>
    <row r="28" spans="2:24" s="146" customFormat="1" ht="204.75">
      <c r="B28" s="169" t="s">
        <v>637</v>
      </c>
      <c r="C28" s="143"/>
      <c r="D28" s="169" t="s">
        <v>655</v>
      </c>
      <c r="E28" s="170"/>
      <c r="F28" s="171" t="s">
        <v>28</v>
      </c>
      <c r="G28" s="172"/>
      <c r="H28" s="173" t="s">
        <v>656</v>
      </c>
      <c r="I28" s="143"/>
      <c r="J28" s="144">
        <v>0</v>
      </c>
      <c r="K28" s="143"/>
      <c r="L28" s="144">
        <v>3</v>
      </c>
      <c r="M28" s="143"/>
      <c r="N28" s="144" t="s">
        <v>145</v>
      </c>
      <c r="O28" s="132" t="s">
        <v>650</v>
      </c>
      <c r="P28" s="162"/>
      <c r="Q28" s="132" t="s">
        <v>641</v>
      </c>
      <c r="R28" s="162"/>
      <c r="S28" s="144" t="s">
        <v>657</v>
      </c>
      <c r="T28" s="162"/>
      <c r="U28" s="131" t="s">
        <v>658</v>
      </c>
      <c r="V28" s="143"/>
      <c r="W28" s="131" t="s">
        <v>659</v>
      </c>
      <c r="X28" s="160"/>
    </row>
    <row r="29" spans="2:24" s="146" customFormat="1" ht="409.5">
      <c r="B29" s="174" t="s">
        <v>660</v>
      </c>
      <c r="C29" s="175"/>
      <c r="D29" s="174" t="s">
        <v>661</v>
      </c>
      <c r="E29" s="175"/>
      <c r="F29" s="176" t="s">
        <v>662</v>
      </c>
      <c r="G29" s="177"/>
      <c r="H29" s="178" t="s">
        <v>28</v>
      </c>
      <c r="I29" s="177"/>
      <c r="J29" s="178" t="s">
        <v>28</v>
      </c>
      <c r="K29" s="177"/>
      <c r="L29" s="178" t="s">
        <v>28</v>
      </c>
      <c r="M29" s="177"/>
      <c r="N29" s="176" t="s">
        <v>545</v>
      </c>
      <c r="O29" s="179" t="s">
        <v>587</v>
      </c>
      <c r="P29" s="177"/>
      <c r="Q29" s="179" t="s">
        <v>663</v>
      </c>
      <c r="R29" s="177"/>
      <c r="S29" s="179" t="s">
        <v>664</v>
      </c>
      <c r="T29" s="179" t="s">
        <v>665</v>
      </c>
      <c r="U29" s="179" t="s">
        <v>665</v>
      </c>
      <c r="V29" s="177"/>
      <c r="W29" s="179" t="s">
        <v>587</v>
      </c>
      <c r="X29" s="180"/>
    </row>
    <row r="30" spans="2:24" s="146" customFormat="1" ht="213.75">
      <c r="B30" s="181" t="s">
        <v>660</v>
      </c>
      <c r="C30" s="175"/>
      <c r="D30" s="181" t="s">
        <v>666</v>
      </c>
      <c r="E30" s="175"/>
      <c r="F30" s="182" t="s">
        <v>28</v>
      </c>
      <c r="G30" s="183"/>
      <c r="H30" s="184" t="s">
        <v>667</v>
      </c>
      <c r="I30" s="183"/>
      <c r="J30" s="184">
        <v>0</v>
      </c>
      <c r="K30" s="183"/>
      <c r="L30" s="184">
        <v>1</v>
      </c>
      <c r="M30" s="183"/>
      <c r="N30" s="184" t="s">
        <v>145</v>
      </c>
      <c r="O30" s="179" t="s">
        <v>668</v>
      </c>
      <c r="P30" s="183"/>
      <c r="Q30" s="185" t="s">
        <v>663</v>
      </c>
      <c r="R30" s="183"/>
      <c r="S30" s="179" t="s">
        <v>669</v>
      </c>
      <c r="T30" s="179" t="s">
        <v>670</v>
      </c>
      <c r="U30" s="179" t="s">
        <v>670</v>
      </c>
      <c r="V30" s="183"/>
      <c r="W30" s="179" t="s">
        <v>671</v>
      </c>
      <c r="X30" s="180"/>
    </row>
  </sheetData>
  <mergeCells count="2">
    <mergeCell ref="B2:X2"/>
    <mergeCell ref="H3:M3"/>
  </mergeCells>
  <conditionalFormatting sqref="K25 P25 R25 V25 D30:E30 V27 D29:G29 I29 K29 D6:W24 M29:W29 G30:W30 G25 I25 M25 E25 T25:T28">
    <cfRule type="containsBlanks" dxfId="42" priority="26">
      <formula>LEN(TRIM(D6))=0</formula>
    </cfRule>
  </conditionalFormatting>
  <conditionalFormatting sqref="H25">
    <cfRule type="containsBlanks" dxfId="41" priority="25">
      <formula>LEN(TRIM(H25))=0</formula>
    </cfRule>
  </conditionalFormatting>
  <conditionalFormatting sqref="N25">
    <cfRule type="containsBlanks" dxfId="40" priority="24">
      <formula>LEN(TRIM(N25))=0</formula>
    </cfRule>
  </conditionalFormatting>
  <conditionalFormatting sqref="O25">
    <cfRule type="containsBlanks" dxfId="39" priority="23">
      <formula>LEN(TRIM(O25))=0</formula>
    </cfRule>
  </conditionalFormatting>
  <conditionalFormatting sqref="Q25">
    <cfRule type="containsBlanks" dxfId="38" priority="22">
      <formula>LEN(TRIM(Q25))=0</formula>
    </cfRule>
  </conditionalFormatting>
  <conditionalFormatting sqref="U25">
    <cfRule type="containsBlanks" dxfId="37" priority="21">
      <formula>LEN(TRIM(U25))=0</formula>
    </cfRule>
  </conditionalFormatting>
  <conditionalFormatting sqref="W26">
    <cfRule type="containsBlanks" dxfId="36" priority="17">
      <formula>LEN(TRIM(W26))=0</formula>
    </cfRule>
  </conditionalFormatting>
  <conditionalFormatting sqref="D27:R27">
    <cfRule type="containsBlanks" dxfId="35" priority="15">
      <formula>LEN(TRIM(D27))=0</formula>
    </cfRule>
  </conditionalFormatting>
  <conditionalFormatting sqref="D26:E26">
    <cfRule type="containsBlanks" dxfId="34" priority="20">
      <formula>LEN(TRIM(D26))=0</formula>
    </cfRule>
  </conditionalFormatting>
  <conditionalFormatting sqref="F26:S26">
    <cfRule type="containsBlanks" dxfId="33" priority="19">
      <formula>LEN(TRIM(F26))=0</formula>
    </cfRule>
  </conditionalFormatting>
  <conditionalFormatting sqref="V26">
    <cfRule type="containsBlanks" dxfId="32" priority="18">
      <formula>LEN(TRIM(V26))=0</formula>
    </cfRule>
  </conditionalFormatting>
  <conditionalFormatting sqref="U26">
    <cfRule type="containsBlanks" dxfId="31" priority="16">
      <formula>LEN(TRIM(U26))=0</formula>
    </cfRule>
  </conditionalFormatting>
  <conditionalFormatting sqref="J25">
    <cfRule type="containsBlanks" dxfId="30" priority="14">
      <formula>LEN(TRIM(J25))=0</formula>
    </cfRule>
  </conditionalFormatting>
  <conditionalFormatting sqref="L25">
    <cfRule type="containsBlanks" dxfId="29" priority="13">
      <formula>LEN(TRIM(L25))=0</formula>
    </cfRule>
  </conditionalFormatting>
  <conditionalFormatting sqref="E28 G28 R28 P28 I28:N28">
    <cfRule type="containsBlanks" dxfId="28" priority="11">
      <formula>LEN(TRIM(E28))=0</formula>
    </cfRule>
  </conditionalFormatting>
  <conditionalFormatting sqref="D28">
    <cfRule type="containsBlanks" dxfId="27" priority="12">
      <formula>LEN(TRIM(D28))=0</formula>
    </cfRule>
  </conditionalFormatting>
  <conditionalFormatting sqref="U28">
    <cfRule type="containsBlanks" dxfId="26" priority="8">
      <formula>LEN(TRIM(U28))=0</formula>
    </cfRule>
  </conditionalFormatting>
  <conditionalFormatting sqref="W28">
    <cfRule type="containsBlanks" dxfId="25" priority="9">
      <formula>LEN(TRIM(W28))=0</formula>
    </cfRule>
  </conditionalFormatting>
  <conditionalFormatting sqref="V28">
    <cfRule type="containsBlanks" dxfId="24" priority="10">
      <formula>LEN(TRIM(V28))=0</formula>
    </cfRule>
  </conditionalFormatting>
  <conditionalFormatting sqref="Q28">
    <cfRule type="containsBlanks" dxfId="23" priority="7">
      <formula>LEN(TRIM(Q28))=0</formula>
    </cfRule>
  </conditionalFormatting>
  <conditionalFormatting sqref="O28">
    <cfRule type="containsBlanks" dxfId="22" priority="6">
      <formula>LEN(TRIM(O28))=0</formula>
    </cfRule>
  </conditionalFormatting>
  <conditionalFormatting sqref="S28">
    <cfRule type="containsBlanks" dxfId="21" priority="5">
      <formula>LEN(TRIM(S28))=0</formula>
    </cfRule>
  </conditionalFormatting>
  <conditionalFormatting sqref="H29">
    <cfRule type="containsBlanks" dxfId="20" priority="4">
      <formula>LEN(TRIM(H29))=0</formula>
    </cfRule>
  </conditionalFormatting>
  <conditionalFormatting sqref="J29">
    <cfRule type="containsBlanks" dxfId="19" priority="3">
      <formula>LEN(TRIM(J29))=0</formula>
    </cfRule>
  </conditionalFormatting>
  <conditionalFormatting sqref="L29">
    <cfRule type="containsBlanks" dxfId="18" priority="2">
      <formula>LEN(TRIM(L29))=0</formula>
    </cfRule>
  </conditionalFormatting>
  <conditionalFormatting sqref="F30">
    <cfRule type="containsBlanks" dxfId="17" priority="1">
      <formula>LEN(TRIM(F30))=0</formula>
    </cfRule>
  </conditionalFormatting>
  <pageMargins left="0.7" right="0.7" top="0.75" bottom="0.75" header="0.3" footer="0.3"/>
  <pageSetup paperSize="9" orientation="portrait"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31F83-1FE8-4CA6-AFA8-2FCA9E5B9613}">
  <sheetPr>
    <pageSetUpPr fitToPage="1"/>
  </sheetPr>
  <dimension ref="A1:X13"/>
  <sheetViews>
    <sheetView showGridLines="0" topLeftCell="B1" zoomScale="90" zoomScaleNormal="90" workbookViewId="0">
      <pane ySplit="4" topLeftCell="A5" activePane="bottomLeft" state="frozen"/>
      <selection pane="bottomLeft" activeCell="S18" sqref="S18"/>
    </sheetView>
  </sheetViews>
  <sheetFormatPr defaultRowHeight="15"/>
  <cols>
    <col min="1" max="1" width="2.42578125" hidden="1" customWidth="1"/>
    <col min="2" max="2" width="41.7109375" customWidth="1"/>
    <col min="3" max="3" width="19.85546875" hidden="1" customWidth="1"/>
    <col min="4" max="4" width="22" bestFit="1" customWidth="1"/>
    <col min="5" max="5" width="21.140625" hidden="1" customWidth="1"/>
    <col min="6" max="6" width="14.7109375" bestFit="1" customWidth="1"/>
    <col min="7" max="7" width="42.7109375" hidden="1" customWidth="1"/>
    <col min="8" max="8" width="16.42578125" customWidth="1"/>
    <col min="9" max="9" width="18.28515625" hidden="1" customWidth="1"/>
    <col min="10" max="10" width="13" bestFit="1" customWidth="1"/>
    <col min="11" max="11" width="0.140625" customWidth="1"/>
    <col min="12" max="12" width="21.42578125" customWidth="1"/>
    <col min="13" max="13" width="25.140625" hidden="1" customWidth="1"/>
    <col min="14" max="14" width="14.42578125" bestFit="1" customWidth="1"/>
    <col min="15" max="15" width="19.7109375" customWidth="1"/>
    <col min="16" max="16" width="27.85546875" hidden="1" customWidth="1"/>
    <col min="17" max="17" width="12" bestFit="1" customWidth="1"/>
    <col min="18" max="18" width="16.140625" hidden="1" customWidth="1"/>
    <col min="19" max="19" width="35.140625" customWidth="1"/>
    <col min="20" max="20" width="3.28515625" hidden="1" customWidth="1"/>
    <col min="21" max="21" width="18.85546875" customWidth="1"/>
    <col min="22" max="22" width="0.5703125" hidden="1" customWidth="1"/>
    <col min="23" max="23" width="20.28515625" customWidth="1"/>
    <col min="24" max="24" width="19.140625" customWidth="1"/>
  </cols>
  <sheetData>
    <row r="1" spans="2:24" ht="15.75" hidden="1" thickBot="1"/>
    <row r="2" spans="2:24" ht="16.5" hidden="1"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121.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92.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 r="B5" s="629" t="s">
        <v>672</v>
      </c>
      <c r="C5" s="630"/>
      <c r="D5" s="630"/>
      <c r="E5" s="630"/>
      <c r="F5" s="630"/>
      <c r="G5" s="630"/>
      <c r="H5" s="630"/>
      <c r="I5" s="630"/>
      <c r="J5" s="630"/>
      <c r="K5" s="630"/>
      <c r="L5" s="630"/>
      <c r="M5" s="631"/>
    </row>
    <row r="6" spans="2:24" ht="105">
      <c r="B6" s="109" t="s">
        <v>673</v>
      </c>
      <c r="C6" s="106"/>
      <c r="D6" s="26" t="s">
        <v>674</v>
      </c>
      <c r="E6" s="103"/>
      <c r="F6" s="186"/>
      <c r="G6" s="186"/>
      <c r="H6" s="187"/>
      <c r="I6" s="188"/>
      <c r="J6" s="188"/>
      <c r="K6" s="188"/>
      <c r="L6" s="188" t="s">
        <v>675</v>
      </c>
      <c r="M6" s="188"/>
      <c r="N6" s="125" t="s">
        <v>676</v>
      </c>
      <c r="O6" s="187"/>
      <c r="P6" s="187"/>
      <c r="Q6" s="187" t="str">
        <f t="shared" ref="Q6:Q12" si="0">R6</f>
        <v>Ministry of Industry and Trade</v>
      </c>
      <c r="R6" s="187" t="s">
        <v>677</v>
      </c>
      <c r="S6" s="187" t="s">
        <v>678</v>
      </c>
      <c r="T6" s="187"/>
      <c r="U6" s="187" t="s">
        <v>679</v>
      </c>
      <c r="V6" s="187"/>
      <c r="W6" s="187" t="s">
        <v>680</v>
      </c>
      <c r="X6" s="187" t="s">
        <v>680</v>
      </c>
    </row>
    <row r="7" spans="2:24" ht="105">
      <c r="B7" s="109" t="s">
        <v>673</v>
      </c>
      <c r="C7" s="106"/>
      <c r="D7" s="26" t="s">
        <v>681</v>
      </c>
      <c r="E7" s="103"/>
      <c r="F7" s="186"/>
      <c r="G7" s="186"/>
      <c r="H7" s="187" t="s">
        <v>682</v>
      </c>
      <c r="I7" s="188"/>
      <c r="J7" s="188" t="s">
        <v>683</v>
      </c>
      <c r="K7" s="188"/>
      <c r="L7" s="189">
        <v>0.75</v>
      </c>
      <c r="M7" s="188"/>
      <c r="N7" s="125" t="s">
        <v>684</v>
      </c>
      <c r="O7" s="187" t="s">
        <v>685</v>
      </c>
      <c r="P7" s="187"/>
      <c r="Q7" s="187" t="str">
        <f t="shared" si="0"/>
        <v>Ministry of Industry and Trade</v>
      </c>
      <c r="R7" s="187" t="s">
        <v>677</v>
      </c>
      <c r="S7" s="187" t="s">
        <v>686</v>
      </c>
      <c r="T7" s="187"/>
      <c r="U7" s="187" t="s">
        <v>687</v>
      </c>
      <c r="V7" s="187"/>
      <c r="W7" s="187" t="s">
        <v>688</v>
      </c>
      <c r="X7" s="187" t="s">
        <v>688</v>
      </c>
    </row>
    <row r="8" spans="2:24" ht="90">
      <c r="B8" s="109" t="s">
        <v>673</v>
      </c>
      <c r="C8" s="106"/>
      <c r="D8" s="26" t="s">
        <v>689</v>
      </c>
      <c r="E8" s="103"/>
      <c r="F8" s="186"/>
      <c r="G8" s="186"/>
      <c r="H8" s="187" t="s">
        <v>682</v>
      </c>
      <c r="I8" s="188"/>
      <c r="J8" s="188" t="s">
        <v>690</v>
      </c>
      <c r="K8" s="188"/>
      <c r="L8" s="189">
        <v>1</v>
      </c>
      <c r="M8" s="188"/>
      <c r="N8" s="125" t="s">
        <v>691</v>
      </c>
      <c r="O8" s="187" t="s">
        <v>685</v>
      </c>
      <c r="P8" s="187"/>
      <c r="Q8" s="187" t="str">
        <f t="shared" si="0"/>
        <v>Ministry of Industry and Trade</v>
      </c>
      <c r="R8" s="187" t="s">
        <v>677</v>
      </c>
      <c r="S8" s="190" t="s">
        <v>692</v>
      </c>
      <c r="T8" s="187"/>
      <c r="U8" s="187"/>
      <c r="V8" s="187"/>
      <c r="W8" s="187" t="s">
        <v>688</v>
      </c>
      <c r="X8" s="187" t="s">
        <v>688</v>
      </c>
    </row>
    <row r="9" spans="2:24" ht="129" customHeight="1">
      <c r="B9" s="109" t="s">
        <v>673</v>
      </c>
      <c r="C9" s="106"/>
      <c r="D9" s="26" t="s">
        <v>693</v>
      </c>
      <c r="E9" s="103"/>
      <c r="F9" s="187"/>
      <c r="G9" s="187"/>
      <c r="H9" s="187" t="s">
        <v>694</v>
      </c>
      <c r="I9" s="188"/>
      <c r="J9" s="188" t="s">
        <v>683</v>
      </c>
      <c r="K9" s="188" t="s">
        <v>683</v>
      </c>
      <c r="L9" s="186" t="str">
        <f>M9</f>
        <v>216,64 TJ</v>
      </c>
      <c r="M9" s="186" t="s">
        <v>695</v>
      </c>
      <c r="N9" s="125">
        <v>2026</v>
      </c>
      <c r="O9" s="191" t="str">
        <f>P9</f>
        <v>based on specific cost from Operational Programme Environment</v>
      </c>
      <c r="P9" s="187" t="s">
        <v>696</v>
      </c>
      <c r="Q9" s="187" t="str">
        <f t="shared" si="0"/>
        <v>Ministry of Industry and Trade</v>
      </c>
      <c r="R9" s="187" t="s">
        <v>677</v>
      </c>
      <c r="S9" s="187" t="s">
        <v>697</v>
      </c>
      <c r="T9" s="187"/>
      <c r="U9" s="187" t="s">
        <v>698</v>
      </c>
      <c r="V9" s="187" t="s">
        <v>699</v>
      </c>
      <c r="W9" s="107" t="s">
        <v>700</v>
      </c>
      <c r="X9" s="107" t="s">
        <v>700</v>
      </c>
    </row>
    <row r="10" spans="2:24" ht="47.25">
      <c r="B10" s="109" t="s">
        <v>701</v>
      </c>
      <c r="C10" s="106"/>
      <c r="D10" s="26" t="s">
        <v>702</v>
      </c>
      <c r="E10" s="103"/>
      <c r="F10" s="187"/>
      <c r="G10" s="187"/>
      <c r="H10" s="187"/>
      <c r="I10" s="188"/>
      <c r="J10" s="188"/>
      <c r="K10" s="188"/>
      <c r="L10" s="186"/>
      <c r="M10" s="186"/>
      <c r="N10" s="125" t="s">
        <v>703</v>
      </c>
      <c r="O10" s="187"/>
      <c r="P10" s="187"/>
      <c r="Q10" s="187" t="str">
        <f t="shared" si="0"/>
        <v>Ministry of Industry and Trade</v>
      </c>
      <c r="R10" s="187" t="s">
        <v>677</v>
      </c>
      <c r="S10" s="187" t="s">
        <v>704</v>
      </c>
      <c r="T10" s="187"/>
      <c r="U10" s="187"/>
      <c r="V10" s="187"/>
      <c r="W10" s="187" t="s">
        <v>705</v>
      </c>
      <c r="X10" s="187" t="s">
        <v>705</v>
      </c>
    </row>
    <row r="11" spans="2:24" ht="90">
      <c r="B11" s="109" t="s">
        <v>701</v>
      </c>
      <c r="C11" s="106"/>
      <c r="D11" s="26" t="s">
        <v>706</v>
      </c>
      <c r="E11" s="103"/>
      <c r="F11" s="187"/>
      <c r="G11" s="187"/>
      <c r="H11" s="187" t="s">
        <v>682</v>
      </c>
      <c r="I11" s="188"/>
      <c r="J11" s="188" t="s">
        <v>683</v>
      </c>
      <c r="K11" s="188"/>
      <c r="L11" s="192">
        <v>0.8</v>
      </c>
      <c r="M11" s="186"/>
      <c r="N11" s="125" t="s">
        <v>707</v>
      </c>
      <c r="O11" s="187" t="s">
        <v>708</v>
      </c>
      <c r="P11" s="187"/>
      <c r="Q11" s="187" t="str">
        <f t="shared" si="0"/>
        <v>Ministry of Industry and Trade</v>
      </c>
      <c r="R11" s="187" t="s">
        <v>677</v>
      </c>
      <c r="S11" s="187" t="s">
        <v>709</v>
      </c>
      <c r="T11" s="187"/>
      <c r="U11" s="187" t="s">
        <v>687</v>
      </c>
      <c r="V11" s="187"/>
      <c r="W11" s="187" t="s">
        <v>710</v>
      </c>
      <c r="X11" s="187" t="s">
        <v>710</v>
      </c>
    </row>
    <row r="12" spans="2:24" ht="60">
      <c r="B12" s="109" t="s">
        <v>701</v>
      </c>
      <c r="C12" s="106"/>
      <c r="D12" s="26" t="s">
        <v>711</v>
      </c>
      <c r="E12" s="103"/>
      <c r="F12" s="187"/>
      <c r="G12" s="187"/>
      <c r="H12" s="187" t="s">
        <v>682</v>
      </c>
      <c r="I12" s="188"/>
      <c r="J12" s="188" t="s">
        <v>712</v>
      </c>
      <c r="K12" s="188"/>
      <c r="L12" s="192">
        <v>1</v>
      </c>
      <c r="M12" s="186"/>
      <c r="N12" s="125" t="s">
        <v>713</v>
      </c>
      <c r="O12" s="187" t="s">
        <v>708</v>
      </c>
      <c r="P12" s="187"/>
      <c r="Q12" s="187" t="str">
        <f t="shared" si="0"/>
        <v>Ministry of Industry and Trade</v>
      </c>
      <c r="R12" s="187" t="s">
        <v>677</v>
      </c>
      <c r="S12" s="187" t="s">
        <v>714</v>
      </c>
      <c r="T12" s="187"/>
      <c r="U12" s="187"/>
      <c r="V12" s="187"/>
      <c r="W12" s="187" t="s">
        <v>710</v>
      </c>
      <c r="X12" s="187" t="s">
        <v>710</v>
      </c>
    </row>
    <row r="13" spans="2:24" ht="142.5" customHeight="1">
      <c r="B13" s="109" t="s">
        <v>701</v>
      </c>
      <c r="C13" s="106"/>
      <c r="D13" s="26" t="s">
        <v>693</v>
      </c>
      <c r="E13" s="103"/>
      <c r="F13" s="187"/>
      <c r="G13" s="187"/>
      <c r="H13" s="187" t="s">
        <v>694</v>
      </c>
      <c r="I13" s="188"/>
      <c r="J13" s="188" t="s">
        <v>683</v>
      </c>
      <c r="K13" s="188"/>
      <c r="L13" s="186" t="str">
        <f>M13</f>
        <v xml:space="preserve"> 286,76 TJ</v>
      </c>
      <c r="M13" s="186" t="s">
        <v>715</v>
      </c>
      <c r="N13" s="125" t="s">
        <v>716</v>
      </c>
      <c r="O13" s="187" t="str">
        <f>P13</f>
        <v>based on specific cost from EFEKT programme special goal public lighting</v>
      </c>
      <c r="P13" s="187" t="s">
        <v>717</v>
      </c>
      <c r="Q13" s="187" t="str">
        <f>R13</f>
        <v>Ministry of Industry and Trade</v>
      </c>
      <c r="R13" s="187" t="s">
        <v>677</v>
      </c>
      <c r="S13" s="187" t="s">
        <v>718</v>
      </c>
      <c r="T13" s="187"/>
      <c r="U13" s="187" t="s">
        <v>719</v>
      </c>
      <c r="V13" s="187" t="s">
        <v>720</v>
      </c>
      <c r="W13" s="107" t="s">
        <v>721</v>
      </c>
      <c r="X13" s="107" t="s">
        <v>721</v>
      </c>
    </row>
  </sheetData>
  <mergeCells count="3">
    <mergeCell ref="B2:X2"/>
    <mergeCell ref="H3:M3"/>
    <mergeCell ref="B5:M5"/>
  </mergeCells>
  <conditionalFormatting sqref="M11:P12 D6:P10 Q6:X12 D11:K12 D13:X13">
    <cfRule type="containsBlanks" dxfId="16" priority="2">
      <formula>LEN(TRIM(D6))=0</formula>
    </cfRule>
  </conditionalFormatting>
  <conditionalFormatting sqref="L11:L12">
    <cfRule type="containsBlanks" dxfId="15" priority="1">
      <formula>LEN(TRIM(L11))=0</formula>
    </cfRule>
  </conditionalFormatting>
  <pageMargins left="0.51181102362204722" right="0.51181102362204722" top="0.74803149606299213" bottom="0.74803149606299213" header="0.31496062992125984" footer="0.31496062992125984"/>
  <pageSetup paperSize="9" scale="63" fitToWidth="2"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50326-6CEB-45DD-BBA1-6C37301EFC1A}">
  <dimension ref="A1:Y8"/>
  <sheetViews>
    <sheetView showGridLines="0" topLeftCell="P1" zoomScaleNormal="100" workbookViewId="0">
      <pane ySplit="4" topLeftCell="A5" activePane="bottomLeft" state="frozen"/>
      <selection pane="bottomLeft" activeCell="B8" sqref="B2:X8"/>
    </sheetView>
  </sheetViews>
  <sheetFormatPr defaultRowHeight="15"/>
  <cols>
    <col min="1" max="1" width="2.42578125" customWidth="1"/>
    <col min="2" max="2" width="91.28515625" bestFit="1" customWidth="1"/>
    <col min="3" max="24" width="20.7109375" customWidth="1"/>
  </cols>
  <sheetData>
    <row r="1" spans="1:25" ht="15.75" thickBot="1"/>
    <row r="2" spans="1:25"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1:25" ht="63.7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1:25"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1:25" ht="15.75">
      <c r="B5" s="632" t="s">
        <v>722</v>
      </c>
      <c r="C5" s="633"/>
      <c r="D5" s="633"/>
      <c r="E5" s="633"/>
      <c r="F5" s="633"/>
      <c r="G5" s="633"/>
      <c r="H5" s="633"/>
      <c r="I5" s="633"/>
      <c r="J5" s="633"/>
      <c r="K5" s="633"/>
      <c r="L5" s="633"/>
      <c r="M5" s="633"/>
      <c r="N5" s="633"/>
      <c r="O5" s="633"/>
      <c r="P5" s="633"/>
      <c r="Q5" s="633"/>
      <c r="R5" s="633"/>
      <c r="S5" s="633"/>
      <c r="T5" s="633"/>
      <c r="U5" s="633"/>
      <c r="V5" s="633"/>
      <c r="W5" s="633"/>
      <c r="X5" s="634"/>
      <c r="Y5" s="193"/>
    </row>
    <row r="6" spans="1:25" s="146" customFormat="1" ht="236.25">
      <c r="A6" s="194"/>
      <c r="B6" s="195" t="s">
        <v>1891</v>
      </c>
      <c r="C6" s="131" t="s">
        <v>723</v>
      </c>
      <c r="D6" s="131" t="s">
        <v>724</v>
      </c>
      <c r="E6" s="131" t="s">
        <v>725</v>
      </c>
      <c r="F6" s="128" t="s">
        <v>726</v>
      </c>
      <c r="G6" s="128" t="s">
        <v>727</v>
      </c>
      <c r="H6" s="132" t="s">
        <v>728</v>
      </c>
      <c r="I6" s="132" t="s">
        <v>728</v>
      </c>
      <c r="J6" s="132" t="s">
        <v>729</v>
      </c>
      <c r="K6" s="132" t="s">
        <v>730</v>
      </c>
      <c r="L6" s="132" t="s">
        <v>731</v>
      </c>
      <c r="M6" s="132" t="s">
        <v>731</v>
      </c>
      <c r="N6" s="196" t="s">
        <v>732</v>
      </c>
      <c r="O6" s="131" t="s">
        <v>733</v>
      </c>
      <c r="P6" s="131" t="s">
        <v>734</v>
      </c>
      <c r="Q6" s="132" t="s">
        <v>136</v>
      </c>
      <c r="R6" s="132" t="s">
        <v>677</v>
      </c>
      <c r="S6" s="131" t="s">
        <v>735</v>
      </c>
      <c r="T6" s="131" t="s">
        <v>736</v>
      </c>
      <c r="U6" s="131" t="s">
        <v>737</v>
      </c>
      <c r="V6" s="197" t="s">
        <v>738</v>
      </c>
      <c r="W6" s="131" t="s">
        <v>739</v>
      </c>
      <c r="X6" s="198" t="s">
        <v>740</v>
      </c>
    </row>
    <row r="7" spans="1:25" s="146" customFormat="1" ht="158.25" thickBot="1">
      <c r="A7" s="194"/>
      <c r="B7" s="199" t="s">
        <v>1892</v>
      </c>
      <c r="C7" s="200" t="s">
        <v>741</v>
      </c>
      <c r="D7" s="200" t="s">
        <v>742</v>
      </c>
      <c r="E7" s="201" t="s">
        <v>743</v>
      </c>
      <c r="F7" s="201" t="s">
        <v>744</v>
      </c>
      <c r="G7" s="201" t="s">
        <v>745</v>
      </c>
      <c r="H7" s="202" t="s">
        <v>746</v>
      </c>
      <c r="I7" s="202" t="s">
        <v>747</v>
      </c>
      <c r="J7" s="202" t="s">
        <v>748</v>
      </c>
      <c r="K7" s="202" t="s">
        <v>749</v>
      </c>
      <c r="L7" s="202" t="s">
        <v>750</v>
      </c>
      <c r="M7" s="202" t="s">
        <v>750</v>
      </c>
      <c r="N7" s="203" t="s">
        <v>732</v>
      </c>
      <c r="O7" s="200" t="s">
        <v>733</v>
      </c>
      <c r="P7" s="200" t="s">
        <v>734</v>
      </c>
      <c r="Q7" s="202" t="s">
        <v>136</v>
      </c>
      <c r="R7" s="202" t="s">
        <v>677</v>
      </c>
      <c r="S7" s="200" t="s">
        <v>751</v>
      </c>
      <c r="T7" s="204" t="s">
        <v>752</v>
      </c>
      <c r="U7" s="201" t="s">
        <v>753</v>
      </c>
      <c r="V7" s="200" t="s">
        <v>754</v>
      </c>
      <c r="W7" s="201" t="s">
        <v>739</v>
      </c>
      <c r="X7" s="205" t="s">
        <v>740</v>
      </c>
    </row>
    <row r="8" spans="1:25" s="146" customFormat="1">
      <c r="B8" s="206"/>
    </row>
  </sheetData>
  <mergeCells count="3">
    <mergeCell ref="B2:X2"/>
    <mergeCell ref="H3:M3"/>
    <mergeCell ref="B5:X5"/>
  </mergeCells>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0D15-1C9C-4705-90DC-88D0CDEE043C}">
  <sheetPr>
    <pageSetUpPr fitToPage="1"/>
  </sheetPr>
  <dimension ref="B1:X698"/>
  <sheetViews>
    <sheetView showGridLines="0" zoomScale="60" zoomScaleNormal="60" workbookViewId="0">
      <pane ySplit="4" topLeftCell="A5" activePane="bottomLeft" state="frozen"/>
      <selection pane="bottomLeft" activeCell="B53" sqref="B53"/>
    </sheetView>
  </sheetViews>
  <sheetFormatPr defaultRowHeight="15"/>
  <cols>
    <col min="1" max="1" width="2.42578125" customWidth="1"/>
    <col min="2" max="2" width="93" bestFit="1" customWidth="1"/>
    <col min="3" max="3" width="19.85546875" bestFit="1" customWidth="1"/>
    <col min="4" max="4" width="31" customWidth="1"/>
    <col min="5" max="5" width="20.85546875" customWidth="1"/>
    <col min="6" max="6" width="15.5703125" customWidth="1"/>
    <col min="7" max="7" width="40.5703125" bestFit="1" customWidth="1"/>
    <col min="8" max="8" width="16.28515625" bestFit="1" customWidth="1"/>
    <col min="9" max="9" width="17" bestFit="1" customWidth="1"/>
    <col min="10" max="10" width="12.28515625" bestFit="1" customWidth="1"/>
    <col min="11" max="11" width="9.42578125" bestFit="1" customWidth="1"/>
    <col min="12" max="12" width="22.7109375" customWidth="1"/>
    <col min="13" max="13" width="6.28515625" style="207" bestFit="1" customWidth="1"/>
    <col min="14" max="14" width="14" style="207" customWidth="1"/>
    <col min="15" max="15" width="8.7109375" bestFit="1" customWidth="1"/>
    <col min="17" max="17" width="10.85546875" bestFit="1" customWidth="1"/>
    <col min="18" max="18" width="14.85546875" bestFit="1" customWidth="1"/>
    <col min="19" max="19" width="13.7109375" bestFit="1" customWidth="1"/>
    <col min="20" max="20" width="15.85546875" bestFit="1" customWidth="1"/>
    <col min="21" max="21" width="24.28515625" customWidth="1"/>
    <col min="22" max="22" width="9.140625" style="105"/>
    <col min="23" max="24" width="8.85546875" bestFit="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88.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 r="B5" s="629" t="s">
        <v>755</v>
      </c>
      <c r="C5" s="630"/>
      <c r="D5" s="630"/>
      <c r="E5" s="630"/>
      <c r="F5" s="630"/>
      <c r="G5" s="630"/>
      <c r="H5" s="630"/>
      <c r="I5" s="630"/>
      <c r="J5" s="630"/>
      <c r="K5" s="630"/>
      <c r="L5" s="630"/>
      <c r="M5" s="631"/>
    </row>
    <row r="6" spans="2:24" s="146" customFormat="1" ht="105">
      <c r="B6" s="131" t="s">
        <v>756</v>
      </c>
      <c r="C6" s="143"/>
      <c r="D6" s="144" t="s">
        <v>757</v>
      </c>
      <c r="E6" s="143"/>
      <c r="F6" s="208" t="s">
        <v>758</v>
      </c>
      <c r="G6" s="144"/>
      <c r="H6" s="144"/>
      <c r="I6" s="143"/>
      <c r="J6" s="144"/>
      <c r="K6" s="143"/>
      <c r="L6" s="208" t="s">
        <v>759</v>
      </c>
      <c r="M6" s="132"/>
      <c r="N6" s="208" t="s">
        <v>759</v>
      </c>
      <c r="O6" s="209" t="s">
        <v>760</v>
      </c>
      <c r="P6" s="143"/>
      <c r="Q6" s="209" t="s">
        <v>761</v>
      </c>
      <c r="R6" s="143"/>
      <c r="S6" s="209" t="s">
        <v>762</v>
      </c>
      <c r="T6" s="143"/>
      <c r="U6" s="209" t="s">
        <v>763</v>
      </c>
      <c r="V6" s="209"/>
      <c r="W6" s="209" t="s">
        <v>764</v>
      </c>
      <c r="X6" s="143"/>
    </row>
    <row r="7" spans="2:24" s="146" customFormat="1" ht="105">
      <c r="B7" s="131" t="s">
        <v>756</v>
      </c>
      <c r="C7" s="143"/>
      <c r="D7" s="144" t="s">
        <v>765</v>
      </c>
      <c r="E7" s="143"/>
      <c r="F7" s="208" t="s">
        <v>766</v>
      </c>
      <c r="G7" s="144"/>
      <c r="H7" s="144"/>
      <c r="I7" s="143"/>
      <c r="J7" s="144"/>
      <c r="K7" s="143"/>
      <c r="L7" s="208" t="s">
        <v>759</v>
      </c>
      <c r="M7" s="132"/>
      <c r="N7" s="208" t="s">
        <v>759</v>
      </c>
      <c r="O7" s="209" t="s">
        <v>760</v>
      </c>
      <c r="P7" s="143"/>
      <c r="Q7" s="209" t="s">
        <v>761</v>
      </c>
      <c r="R7" s="143"/>
      <c r="S7" s="209" t="s">
        <v>767</v>
      </c>
      <c r="T7" s="143"/>
      <c r="U7" s="209" t="s">
        <v>763</v>
      </c>
      <c r="V7" s="209"/>
      <c r="W7" s="209" t="s">
        <v>764</v>
      </c>
      <c r="X7" s="143"/>
    </row>
    <row r="8" spans="2:24" s="146" customFormat="1" ht="105">
      <c r="B8" s="131" t="s">
        <v>756</v>
      </c>
      <c r="C8" s="143"/>
      <c r="D8" s="144" t="s">
        <v>768</v>
      </c>
      <c r="E8" s="143"/>
      <c r="F8" s="208" t="s">
        <v>769</v>
      </c>
      <c r="G8" s="144"/>
      <c r="H8" s="144"/>
      <c r="I8" s="143"/>
      <c r="J8" s="144"/>
      <c r="K8" s="143"/>
      <c r="L8" s="208" t="s">
        <v>759</v>
      </c>
      <c r="M8" s="132"/>
      <c r="N8" s="208" t="s">
        <v>759</v>
      </c>
      <c r="O8" s="209" t="s">
        <v>760</v>
      </c>
      <c r="P8" s="143"/>
      <c r="Q8" s="209" t="s">
        <v>761</v>
      </c>
      <c r="R8" s="143"/>
      <c r="S8" s="209" t="s">
        <v>770</v>
      </c>
      <c r="T8" s="143"/>
      <c r="U8" s="209" t="s">
        <v>763</v>
      </c>
      <c r="V8" s="209"/>
      <c r="W8" s="209" t="s">
        <v>764</v>
      </c>
      <c r="X8" s="143"/>
    </row>
    <row r="9" spans="2:24" s="146" customFormat="1" ht="105">
      <c r="B9" s="131" t="s">
        <v>756</v>
      </c>
      <c r="C9" s="143"/>
      <c r="D9" s="144" t="s">
        <v>771</v>
      </c>
      <c r="E9" s="143"/>
      <c r="F9" s="208" t="s">
        <v>772</v>
      </c>
      <c r="G9" s="144"/>
      <c r="H9" s="144"/>
      <c r="I9" s="143"/>
      <c r="J9" s="144"/>
      <c r="K9" s="143"/>
      <c r="L9" s="208" t="s">
        <v>759</v>
      </c>
      <c r="M9" s="132"/>
      <c r="N9" s="208" t="s">
        <v>759</v>
      </c>
      <c r="O9" s="209" t="s">
        <v>760</v>
      </c>
      <c r="P9" s="143"/>
      <c r="Q9" s="209" t="s">
        <v>761</v>
      </c>
      <c r="R9" s="143"/>
      <c r="S9" s="209" t="s">
        <v>773</v>
      </c>
      <c r="T9" s="143"/>
      <c r="U9" s="209" t="s">
        <v>763</v>
      </c>
      <c r="V9" s="209"/>
      <c r="W9" s="209" t="s">
        <v>764</v>
      </c>
      <c r="X9" s="143"/>
    </row>
    <row r="10" spans="2:24" s="146" customFormat="1" ht="105">
      <c r="B10" s="131" t="s">
        <v>756</v>
      </c>
      <c r="C10" s="143"/>
      <c r="D10" s="144" t="s">
        <v>774</v>
      </c>
      <c r="E10" s="143"/>
      <c r="F10" s="208" t="s">
        <v>775</v>
      </c>
      <c r="G10" s="144"/>
      <c r="H10" s="144"/>
      <c r="I10" s="143"/>
      <c r="J10" s="144"/>
      <c r="K10" s="143"/>
      <c r="L10" s="208" t="s">
        <v>759</v>
      </c>
      <c r="M10" s="132"/>
      <c r="N10" s="208" t="s">
        <v>759</v>
      </c>
      <c r="O10" s="209" t="s">
        <v>760</v>
      </c>
      <c r="P10" s="143"/>
      <c r="Q10" s="209" t="s">
        <v>761</v>
      </c>
      <c r="R10" s="143"/>
      <c r="S10" s="209" t="s">
        <v>776</v>
      </c>
      <c r="T10" s="143"/>
      <c r="U10" s="209" t="s">
        <v>763</v>
      </c>
      <c r="V10" s="209"/>
      <c r="W10" s="209" t="s">
        <v>764</v>
      </c>
      <c r="X10" s="143"/>
    </row>
    <row r="11" spans="2:24" s="146" customFormat="1" ht="105">
      <c r="B11" s="144" t="s">
        <v>756</v>
      </c>
      <c r="C11" s="143"/>
      <c r="D11" s="144" t="s">
        <v>777</v>
      </c>
      <c r="E11" s="143"/>
      <c r="F11" s="208" t="s">
        <v>759</v>
      </c>
      <c r="G11" s="144"/>
      <c r="H11" s="144" t="s">
        <v>778</v>
      </c>
      <c r="I11" s="143"/>
      <c r="J11" s="144">
        <v>740</v>
      </c>
      <c r="K11" s="143"/>
      <c r="L11" s="131" t="s">
        <v>779</v>
      </c>
      <c r="M11" s="132">
        <v>2354</v>
      </c>
      <c r="N11" s="163" t="s">
        <v>780</v>
      </c>
      <c r="O11" s="209" t="s">
        <v>760</v>
      </c>
      <c r="P11" s="143"/>
      <c r="Q11" s="209" t="s">
        <v>761</v>
      </c>
      <c r="R11" s="143"/>
      <c r="S11" s="209" t="s">
        <v>781</v>
      </c>
      <c r="T11" s="143"/>
      <c r="U11" s="209" t="s">
        <v>763</v>
      </c>
      <c r="V11" s="209"/>
      <c r="W11" s="209" t="s">
        <v>764</v>
      </c>
      <c r="X11" s="143"/>
    </row>
    <row r="12" spans="2:24" s="146" customFormat="1" ht="105">
      <c r="B12" s="144" t="s">
        <v>756</v>
      </c>
      <c r="C12" s="143"/>
      <c r="D12" s="144" t="s">
        <v>782</v>
      </c>
      <c r="E12" s="143"/>
      <c r="F12" s="208" t="s">
        <v>759</v>
      </c>
      <c r="G12" s="144"/>
      <c r="H12" s="144" t="s">
        <v>778</v>
      </c>
      <c r="I12" s="143"/>
      <c r="J12" s="144">
        <v>0</v>
      </c>
      <c r="K12" s="143"/>
      <c r="L12" s="131" t="s">
        <v>783</v>
      </c>
      <c r="M12" s="132">
        <v>4</v>
      </c>
      <c r="N12" s="163" t="s">
        <v>784</v>
      </c>
      <c r="O12" s="209" t="s">
        <v>760</v>
      </c>
      <c r="P12" s="143"/>
      <c r="Q12" s="209" t="s">
        <v>761</v>
      </c>
      <c r="R12" s="143"/>
      <c r="S12" s="209" t="s">
        <v>785</v>
      </c>
      <c r="T12" s="143"/>
      <c r="U12" s="209" t="s">
        <v>763</v>
      </c>
      <c r="V12" s="209"/>
      <c r="W12" s="209" t="s">
        <v>764</v>
      </c>
      <c r="X12" s="143"/>
    </row>
    <row r="13" spans="2:24" ht="94.5">
      <c r="B13" s="210" t="s">
        <v>786</v>
      </c>
      <c r="C13" s="106"/>
      <c r="D13" s="144" t="s">
        <v>757</v>
      </c>
      <c r="E13" s="106"/>
      <c r="F13" s="208" t="s">
        <v>787</v>
      </c>
      <c r="G13" s="104"/>
      <c r="H13" s="103"/>
      <c r="I13" s="106"/>
      <c r="J13" s="103"/>
      <c r="K13" s="106"/>
      <c r="L13" s="208" t="s">
        <v>759</v>
      </c>
      <c r="M13" s="22"/>
      <c r="N13" s="208" t="s">
        <v>759</v>
      </c>
      <c r="O13" s="209" t="s">
        <v>788</v>
      </c>
      <c r="P13" s="106"/>
      <c r="Q13" s="209" t="s">
        <v>761</v>
      </c>
      <c r="R13" s="106"/>
      <c r="S13" s="209" t="s">
        <v>762</v>
      </c>
      <c r="T13" s="106"/>
      <c r="U13" s="209" t="s">
        <v>763</v>
      </c>
      <c r="V13" s="107"/>
      <c r="W13" s="209" t="s">
        <v>764</v>
      </c>
      <c r="X13" s="106"/>
    </row>
    <row r="14" spans="2:24" ht="94.5">
      <c r="B14" s="210" t="s">
        <v>786</v>
      </c>
      <c r="C14" s="106"/>
      <c r="D14" s="144" t="s">
        <v>765</v>
      </c>
      <c r="E14" s="106"/>
      <c r="F14" s="208" t="s">
        <v>789</v>
      </c>
      <c r="G14" s="104"/>
      <c r="H14" s="103"/>
      <c r="I14" s="106"/>
      <c r="J14" s="103"/>
      <c r="K14" s="106"/>
      <c r="L14" s="208" t="s">
        <v>759</v>
      </c>
      <c r="M14" s="22"/>
      <c r="N14" s="208" t="s">
        <v>759</v>
      </c>
      <c r="O14" s="209" t="s">
        <v>788</v>
      </c>
      <c r="P14" s="106"/>
      <c r="Q14" s="209" t="s">
        <v>761</v>
      </c>
      <c r="R14" s="106"/>
      <c r="S14" s="209" t="s">
        <v>767</v>
      </c>
      <c r="T14" s="106"/>
      <c r="U14" s="209" t="s">
        <v>763</v>
      </c>
      <c r="V14" s="107"/>
      <c r="W14" s="209" t="s">
        <v>764</v>
      </c>
      <c r="X14" s="106"/>
    </row>
    <row r="15" spans="2:24" ht="94.5">
      <c r="B15" s="210" t="s">
        <v>786</v>
      </c>
      <c r="C15" s="106"/>
      <c r="D15" s="144" t="s">
        <v>768</v>
      </c>
      <c r="E15" s="106"/>
      <c r="F15" s="208" t="s">
        <v>790</v>
      </c>
      <c r="G15" s="104"/>
      <c r="H15" s="103"/>
      <c r="I15" s="106"/>
      <c r="J15" s="103"/>
      <c r="K15" s="106"/>
      <c r="L15" s="208" t="s">
        <v>759</v>
      </c>
      <c r="M15" s="22"/>
      <c r="N15" s="208" t="s">
        <v>759</v>
      </c>
      <c r="O15" s="209" t="s">
        <v>788</v>
      </c>
      <c r="P15" s="106"/>
      <c r="Q15" s="209" t="s">
        <v>761</v>
      </c>
      <c r="R15" s="106"/>
      <c r="S15" s="209" t="s">
        <v>770</v>
      </c>
      <c r="T15" s="106"/>
      <c r="U15" s="209" t="s">
        <v>763</v>
      </c>
      <c r="V15" s="107"/>
      <c r="W15" s="209" t="s">
        <v>764</v>
      </c>
      <c r="X15" s="106"/>
    </row>
    <row r="16" spans="2:24" ht="110.25">
      <c r="B16" s="210" t="s">
        <v>786</v>
      </c>
      <c r="C16" s="106"/>
      <c r="D16" s="144" t="s">
        <v>771</v>
      </c>
      <c r="E16" s="106"/>
      <c r="F16" s="208" t="s">
        <v>791</v>
      </c>
      <c r="G16" s="104"/>
      <c r="H16" s="103"/>
      <c r="I16" s="106"/>
      <c r="J16" s="103"/>
      <c r="K16" s="106"/>
      <c r="L16" s="208" t="s">
        <v>759</v>
      </c>
      <c r="M16" s="22"/>
      <c r="N16" s="208" t="s">
        <v>759</v>
      </c>
      <c r="O16" s="209" t="s">
        <v>788</v>
      </c>
      <c r="P16" s="106"/>
      <c r="Q16" s="209" t="s">
        <v>761</v>
      </c>
      <c r="R16" s="106"/>
      <c r="S16" s="209" t="s">
        <v>773</v>
      </c>
      <c r="T16" s="106"/>
      <c r="U16" s="209" t="s">
        <v>763</v>
      </c>
      <c r="V16" s="107"/>
      <c r="W16" s="209" t="s">
        <v>764</v>
      </c>
      <c r="X16" s="106"/>
    </row>
    <row r="17" spans="2:24" ht="110.25">
      <c r="B17" s="210" t="s">
        <v>786</v>
      </c>
      <c r="C17" s="106"/>
      <c r="D17" s="103" t="s">
        <v>792</v>
      </c>
      <c r="E17" s="106"/>
      <c r="F17" s="208" t="s">
        <v>793</v>
      </c>
      <c r="G17" s="104"/>
      <c r="H17" s="103"/>
      <c r="I17" s="106"/>
      <c r="J17" s="103"/>
      <c r="K17" s="106"/>
      <c r="L17" s="208" t="s">
        <v>759</v>
      </c>
      <c r="M17" s="22"/>
      <c r="N17" s="208" t="s">
        <v>759</v>
      </c>
      <c r="O17" s="209" t="s">
        <v>788</v>
      </c>
      <c r="P17" s="106"/>
      <c r="Q17" s="209" t="s">
        <v>761</v>
      </c>
      <c r="R17" s="106"/>
      <c r="S17" s="209" t="s">
        <v>776</v>
      </c>
      <c r="T17" s="106"/>
      <c r="U17" s="209" t="s">
        <v>763</v>
      </c>
      <c r="V17" s="107"/>
      <c r="W17" s="209" t="s">
        <v>764</v>
      </c>
      <c r="X17" s="106"/>
    </row>
    <row r="18" spans="2:24" s="146" customFormat="1" ht="120">
      <c r="B18" s="144" t="s">
        <v>786</v>
      </c>
      <c r="C18" s="143"/>
      <c r="D18" s="144" t="s">
        <v>794</v>
      </c>
      <c r="E18" s="143"/>
      <c r="F18" s="208" t="s">
        <v>759</v>
      </c>
      <c r="G18" s="144"/>
      <c r="H18" s="144" t="s">
        <v>778</v>
      </c>
      <c r="I18" s="143"/>
      <c r="J18" s="144" t="s">
        <v>795</v>
      </c>
      <c r="K18" s="143"/>
      <c r="L18" s="128" t="s">
        <v>796</v>
      </c>
      <c r="M18" s="132">
        <v>33</v>
      </c>
      <c r="N18" s="163" t="s">
        <v>797</v>
      </c>
      <c r="O18" s="209" t="s">
        <v>788</v>
      </c>
      <c r="P18" s="143"/>
      <c r="Q18" s="209" t="s">
        <v>761</v>
      </c>
      <c r="R18" s="143"/>
      <c r="S18" s="209" t="s">
        <v>798</v>
      </c>
      <c r="T18" s="143"/>
      <c r="U18" s="209" t="s">
        <v>763</v>
      </c>
      <c r="V18" s="209"/>
      <c r="W18" s="209" t="s">
        <v>764</v>
      </c>
      <c r="X18" s="143"/>
    </row>
    <row r="19" spans="2:24" s="146" customFormat="1" ht="90">
      <c r="B19" s="131" t="s">
        <v>799</v>
      </c>
      <c r="C19" s="143"/>
      <c r="D19" s="144" t="s">
        <v>757</v>
      </c>
      <c r="E19" s="143"/>
      <c r="F19" s="208" t="s">
        <v>800</v>
      </c>
      <c r="G19" s="144"/>
      <c r="H19" s="144"/>
      <c r="I19" s="143"/>
      <c r="J19" s="144"/>
      <c r="K19" s="143"/>
      <c r="L19" s="208" t="s">
        <v>759</v>
      </c>
      <c r="M19" s="132"/>
      <c r="N19" s="208" t="s">
        <v>759</v>
      </c>
      <c r="O19" s="209" t="s">
        <v>788</v>
      </c>
      <c r="P19" s="143"/>
      <c r="Q19" s="209" t="s">
        <v>761</v>
      </c>
      <c r="R19" s="143"/>
      <c r="S19" s="209" t="s">
        <v>762</v>
      </c>
      <c r="T19" s="143"/>
      <c r="U19" s="209" t="s">
        <v>763</v>
      </c>
      <c r="V19" s="209"/>
      <c r="W19" s="209" t="s">
        <v>764</v>
      </c>
      <c r="X19" s="143"/>
    </row>
    <row r="20" spans="2:24" s="146" customFormat="1" ht="90">
      <c r="B20" s="131" t="s">
        <v>799</v>
      </c>
      <c r="C20" s="143"/>
      <c r="D20" s="144" t="s">
        <v>765</v>
      </c>
      <c r="E20" s="143"/>
      <c r="F20" s="208" t="s">
        <v>801</v>
      </c>
      <c r="G20" s="144"/>
      <c r="H20" s="144"/>
      <c r="I20" s="143"/>
      <c r="J20" s="144"/>
      <c r="K20" s="143"/>
      <c r="L20" s="208" t="s">
        <v>759</v>
      </c>
      <c r="M20" s="132"/>
      <c r="N20" s="208" t="s">
        <v>759</v>
      </c>
      <c r="O20" s="209" t="s">
        <v>788</v>
      </c>
      <c r="P20" s="143"/>
      <c r="Q20" s="209" t="s">
        <v>761</v>
      </c>
      <c r="R20" s="143"/>
      <c r="S20" s="209" t="s">
        <v>767</v>
      </c>
      <c r="T20" s="143"/>
      <c r="U20" s="209" t="s">
        <v>763</v>
      </c>
      <c r="V20" s="209"/>
      <c r="W20" s="209" t="s">
        <v>764</v>
      </c>
      <c r="X20" s="143"/>
    </row>
    <row r="21" spans="2:24" s="146" customFormat="1" ht="90">
      <c r="B21" s="131" t="s">
        <v>799</v>
      </c>
      <c r="C21" s="143"/>
      <c r="D21" s="144" t="s">
        <v>768</v>
      </c>
      <c r="E21" s="143"/>
      <c r="F21" s="208" t="s">
        <v>802</v>
      </c>
      <c r="G21" s="144"/>
      <c r="H21" s="144"/>
      <c r="I21" s="143"/>
      <c r="J21" s="144"/>
      <c r="K21" s="143"/>
      <c r="L21" s="208" t="s">
        <v>759</v>
      </c>
      <c r="M21" s="132"/>
      <c r="N21" s="208" t="s">
        <v>759</v>
      </c>
      <c r="O21" s="209" t="s">
        <v>788</v>
      </c>
      <c r="P21" s="143"/>
      <c r="Q21" s="209" t="s">
        <v>761</v>
      </c>
      <c r="R21" s="143"/>
      <c r="S21" s="209" t="s">
        <v>770</v>
      </c>
      <c r="T21" s="143"/>
      <c r="U21" s="209" t="s">
        <v>763</v>
      </c>
      <c r="V21" s="209"/>
      <c r="W21" s="209" t="s">
        <v>764</v>
      </c>
      <c r="X21" s="143"/>
    </row>
    <row r="22" spans="2:24" s="146" customFormat="1" ht="105">
      <c r="B22" s="131" t="s">
        <v>799</v>
      </c>
      <c r="C22" s="143"/>
      <c r="D22" s="144" t="s">
        <v>771</v>
      </c>
      <c r="E22" s="143"/>
      <c r="F22" s="208" t="s">
        <v>803</v>
      </c>
      <c r="G22" s="144"/>
      <c r="H22" s="144"/>
      <c r="I22" s="143"/>
      <c r="J22" s="144"/>
      <c r="K22" s="143"/>
      <c r="L22" s="208" t="s">
        <v>759</v>
      </c>
      <c r="M22" s="132"/>
      <c r="N22" s="208" t="s">
        <v>759</v>
      </c>
      <c r="O22" s="209" t="s">
        <v>788</v>
      </c>
      <c r="P22" s="143"/>
      <c r="Q22" s="209" t="s">
        <v>761</v>
      </c>
      <c r="R22" s="143"/>
      <c r="S22" s="209" t="s">
        <v>773</v>
      </c>
      <c r="T22" s="143"/>
      <c r="U22" s="209" t="s">
        <v>763</v>
      </c>
      <c r="V22" s="209"/>
      <c r="W22" s="209" t="s">
        <v>764</v>
      </c>
      <c r="X22" s="143"/>
    </row>
    <row r="23" spans="2:24" s="146" customFormat="1" ht="94.5">
      <c r="B23" s="131" t="s">
        <v>799</v>
      </c>
      <c r="C23" s="143"/>
      <c r="D23" s="144" t="s">
        <v>804</v>
      </c>
      <c r="E23" s="143"/>
      <c r="F23" s="208" t="s">
        <v>805</v>
      </c>
      <c r="G23" s="144"/>
      <c r="H23" s="144"/>
      <c r="I23" s="143"/>
      <c r="J23" s="144"/>
      <c r="K23" s="143"/>
      <c r="L23" s="208" t="s">
        <v>759</v>
      </c>
      <c r="M23" s="132"/>
      <c r="N23" s="208" t="s">
        <v>759</v>
      </c>
      <c r="O23" s="209" t="s">
        <v>806</v>
      </c>
      <c r="P23" s="143"/>
      <c r="Q23" s="209" t="s">
        <v>761</v>
      </c>
      <c r="R23" s="143"/>
      <c r="S23" s="209" t="s">
        <v>776</v>
      </c>
      <c r="T23" s="143"/>
      <c r="U23" s="209" t="s">
        <v>763</v>
      </c>
      <c r="V23" s="209"/>
      <c r="W23" s="209" t="s">
        <v>764</v>
      </c>
      <c r="X23" s="143"/>
    </row>
    <row r="24" spans="2:24" s="146" customFormat="1" ht="90">
      <c r="B24" s="144" t="s">
        <v>799</v>
      </c>
      <c r="C24" s="143"/>
      <c r="D24" s="144" t="s">
        <v>794</v>
      </c>
      <c r="E24" s="143"/>
      <c r="F24" s="208" t="s">
        <v>759</v>
      </c>
      <c r="G24" s="144"/>
      <c r="H24" s="144" t="s">
        <v>778</v>
      </c>
      <c r="I24" s="143"/>
      <c r="J24" s="144" t="s">
        <v>795</v>
      </c>
      <c r="K24" s="143"/>
      <c r="L24" s="128" t="s">
        <v>807</v>
      </c>
      <c r="M24" s="132">
        <v>1940</v>
      </c>
      <c r="N24" s="163" t="s">
        <v>808</v>
      </c>
      <c r="O24" s="209" t="s">
        <v>788</v>
      </c>
      <c r="P24" s="143"/>
      <c r="Q24" s="209" t="s">
        <v>761</v>
      </c>
      <c r="R24" s="143"/>
      <c r="S24" s="209" t="s">
        <v>809</v>
      </c>
      <c r="T24" s="143"/>
      <c r="U24" s="209" t="s">
        <v>763</v>
      </c>
      <c r="V24" s="209"/>
      <c r="W24" s="209" t="s">
        <v>764</v>
      </c>
      <c r="X24" s="143"/>
    </row>
    <row r="25" spans="2:24" s="146" customFormat="1" ht="94.5">
      <c r="B25" s="131" t="s">
        <v>810</v>
      </c>
      <c r="C25" s="143"/>
      <c r="D25" s="144" t="s">
        <v>757</v>
      </c>
      <c r="E25" s="143"/>
      <c r="F25" s="208" t="s">
        <v>811</v>
      </c>
      <c r="G25" s="144"/>
      <c r="H25" s="144"/>
      <c r="I25" s="143"/>
      <c r="J25" s="144"/>
      <c r="K25" s="143"/>
      <c r="L25" s="208" t="s">
        <v>759</v>
      </c>
      <c r="M25" s="132"/>
      <c r="N25" s="208" t="s">
        <v>759</v>
      </c>
      <c r="O25" s="209" t="s">
        <v>788</v>
      </c>
      <c r="P25" s="143"/>
      <c r="Q25" s="209" t="s">
        <v>761</v>
      </c>
      <c r="R25" s="143"/>
      <c r="S25" s="209" t="s">
        <v>762</v>
      </c>
      <c r="T25" s="143"/>
      <c r="U25" s="209" t="s">
        <v>763</v>
      </c>
      <c r="V25" s="209"/>
      <c r="W25" s="209" t="s">
        <v>764</v>
      </c>
      <c r="X25" s="143"/>
    </row>
    <row r="26" spans="2:24" s="146" customFormat="1" ht="94.5">
      <c r="B26" s="131" t="s">
        <v>812</v>
      </c>
      <c r="C26" s="143"/>
      <c r="D26" s="144" t="s">
        <v>765</v>
      </c>
      <c r="E26" s="143"/>
      <c r="F26" s="208" t="s">
        <v>813</v>
      </c>
      <c r="G26" s="144"/>
      <c r="H26" s="144"/>
      <c r="I26" s="143"/>
      <c r="J26" s="144"/>
      <c r="K26" s="143"/>
      <c r="L26" s="208" t="s">
        <v>759</v>
      </c>
      <c r="M26" s="132"/>
      <c r="N26" s="208" t="s">
        <v>759</v>
      </c>
      <c r="O26" s="209" t="s">
        <v>806</v>
      </c>
      <c r="P26" s="143"/>
      <c r="Q26" s="209" t="s">
        <v>761</v>
      </c>
      <c r="R26" s="143"/>
      <c r="S26" s="209" t="s">
        <v>767</v>
      </c>
      <c r="T26" s="143"/>
      <c r="U26" s="209" t="s">
        <v>763</v>
      </c>
      <c r="V26" s="209"/>
      <c r="W26" s="209" t="s">
        <v>764</v>
      </c>
      <c r="X26" s="143"/>
    </row>
    <row r="27" spans="2:24" s="146" customFormat="1" ht="94.5">
      <c r="B27" s="131" t="s">
        <v>812</v>
      </c>
      <c r="C27" s="143"/>
      <c r="D27" s="144" t="s">
        <v>768</v>
      </c>
      <c r="E27" s="143"/>
      <c r="F27" s="208" t="s">
        <v>814</v>
      </c>
      <c r="G27" s="144"/>
      <c r="H27" s="144"/>
      <c r="I27" s="143"/>
      <c r="J27" s="144"/>
      <c r="K27" s="143"/>
      <c r="L27" s="208" t="s">
        <v>759</v>
      </c>
      <c r="M27" s="132"/>
      <c r="N27" s="208" t="s">
        <v>759</v>
      </c>
      <c r="O27" s="209" t="s">
        <v>788</v>
      </c>
      <c r="P27" s="143"/>
      <c r="Q27" s="209" t="s">
        <v>761</v>
      </c>
      <c r="R27" s="143"/>
      <c r="S27" s="209" t="s">
        <v>770</v>
      </c>
      <c r="T27" s="143"/>
      <c r="U27" s="209" t="s">
        <v>763</v>
      </c>
      <c r="V27" s="209"/>
      <c r="W27" s="209" t="s">
        <v>764</v>
      </c>
      <c r="X27" s="143"/>
    </row>
    <row r="28" spans="2:24" s="146" customFormat="1" ht="110.25">
      <c r="B28" s="131" t="s">
        <v>812</v>
      </c>
      <c r="C28" s="143"/>
      <c r="D28" s="144" t="s">
        <v>771</v>
      </c>
      <c r="E28" s="143"/>
      <c r="F28" s="208" t="s">
        <v>815</v>
      </c>
      <c r="G28" s="144"/>
      <c r="H28" s="144"/>
      <c r="I28" s="143"/>
      <c r="J28" s="144"/>
      <c r="K28" s="143"/>
      <c r="L28" s="208" t="s">
        <v>759</v>
      </c>
      <c r="M28" s="132"/>
      <c r="N28" s="208" t="s">
        <v>759</v>
      </c>
      <c r="O28" s="209" t="s">
        <v>788</v>
      </c>
      <c r="P28" s="143"/>
      <c r="Q28" s="209" t="s">
        <v>761</v>
      </c>
      <c r="R28" s="143"/>
      <c r="S28" s="209" t="s">
        <v>773</v>
      </c>
      <c r="T28" s="143"/>
      <c r="U28" s="209" t="s">
        <v>763</v>
      </c>
      <c r="V28" s="209"/>
      <c r="W28" s="209" t="s">
        <v>764</v>
      </c>
      <c r="X28" s="143"/>
    </row>
    <row r="29" spans="2:24" s="146" customFormat="1" ht="110.25">
      <c r="B29" s="131" t="s">
        <v>812</v>
      </c>
      <c r="C29" s="143"/>
      <c r="D29" s="144" t="s">
        <v>816</v>
      </c>
      <c r="E29" s="143"/>
      <c r="F29" s="208" t="s">
        <v>817</v>
      </c>
      <c r="G29" s="144"/>
      <c r="H29" s="144"/>
      <c r="I29" s="143"/>
      <c r="J29" s="144"/>
      <c r="K29" s="143"/>
      <c r="L29" s="208" t="s">
        <v>759</v>
      </c>
      <c r="M29" s="211"/>
      <c r="N29" s="208" t="s">
        <v>759</v>
      </c>
      <c r="O29" s="209" t="s">
        <v>788</v>
      </c>
      <c r="P29" s="143"/>
      <c r="Q29" s="209" t="s">
        <v>761</v>
      </c>
      <c r="R29" s="143"/>
      <c r="S29" s="209" t="s">
        <v>776</v>
      </c>
      <c r="T29" s="143"/>
      <c r="U29" s="209" t="s">
        <v>763</v>
      </c>
      <c r="V29" s="209"/>
      <c r="W29" s="209" t="s">
        <v>764</v>
      </c>
      <c r="X29" s="143"/>
    </row>
    <row r="30" spans="2:24" s="146" customFormat="1" ht="90">
      <c r="B30" s="144" t="s">
        <v>812</v>
      </c>
      <c r="C30" s="143"/>
      <c r="D30" s="144" t="s">
        <v>794</v>
      </c>
      <c r="E30" s="143"/>
      <c r="F30" s="208" t="s">
        <v>759</v>
      </c>
      <c r="G30" s="144"/>
      <c r="H30" s="144" t="s">
        <v>778</v>
      </c>
      <c r="I30" s="143"/>
      <c r="J30" s="144" t="s">
        <v>795</v>
      </c>
      <c r="K30" s="143"/>
      <c r="L30" s="144" t="s">
        <v>818</v>
      </c>
      <c r="M30" s="211">
        <v>2880</v>
      </c>
      <c r="N30" s="163" t="s">
        <v>819</v>
      </c>
      <c r="O30" s="209" t="s">
        <v>788</v>
      </c>
      <c r="P30" s="143"/>
      <c r="Q30" s="209" t="s">
        <v>761</v>
      </c>
      <c r="R30" s="143"/>
      <c r="S30" s="209" t="s">
        <v>820</v>
      </c>
      <c r="T30" s="143"/>
      <c r="U30" s="209" t="s">
        <v>763</v>
      </c>
      <c r="V30" s="209"/>
      <c r="W30" s="209" t="s">
        <v>764</v>
      </c>
      <c r="X30" s="143"/>
    </row>
    <row r="31" spans="2:24" s="146" customFormat="1" ht="173.25">
      <c r="B31" s="131" t="s">
        <v>821</v>
      </c>
      <c r="C31" s="143"/>
      <c r="D31" s="144" t="s">
        <v>757</v>
      </c>
      <c r="E31" s="143"/>
      <c r="F31" s="208" t="s">
        <v>822</v>
      </c>
      <c r="G31" s="144"/>
      <c r="H31" s="144"/>
      <c r="I31" s="143"/>
      <c r="J31" s="144"/>
      <c r="K31" s="143"/>
      <c r="L31" s="208" t="s">
        <v>759</v>
      </c>
      <c r="M31" s="211"/>
      <c r="N31" s="208" t="s">
        <v>759</v>
      </c>
      <c r="O31" s="209" t="s">
        <v>788</v>
      </c>
      <c r="P31" s="143"/>
      <c r="Q31" s="209" t="s">
        <v>761</v>
      </c>
      <c r="R31" s="143"/>
      <c r="S31" s="209" t="s">
        <v>762</v>
      </c>
      <c r="T31" s="143"/>
      <c r="U31" s="209" t="s">
        <v>763</v>
      </c>
      <c r="V31" s="209"/>
      <c r="W31" s="209" t="s">
        <v>764</v>
      </c>
      <c r="X31" s="143"/>
    </row>
    <row r="32" spans="2:24" s="146" customFormat="1" ht="173.25">
      <c r="B32" s="131" t="s">
        <v>821</v>
      </c>
      <c r="C32" s="143"/>
      <c r="D32" s="144" t="s">
        <v>765</v>
      </c>
      <c r="E32" s="143"/>
      <c r="F32" s="208" t="s">
        <v>823</v>
      </c>
      <c r="G32" s="144"/>
      <c r="H32" s="144"/>
      <c r="I32" s="143"/>
      <c r="J32" s="144"/>
      <c r="K32" s="143"/>
      <c r="L32" s="208" t="s">
        <v>759</v>
      </c>
      <c r="M32" s="211"/>
      <c r="N32" s="208" t="s">
        <v>759</v>
      </c>
      <c r="O32" s="209" t="s">
        <v>788</v>
      </c>
      <c r="P32" s="143"/>
      <c r="Q32" s="209" t="s">
        <v>761</v>
      </c>
      <c r="R32" s="143"/>
      <c r="S32" s="209" t="s">
        <v>767</v>
      </c>
      <c r="T32" s="143"/>
      <c r="U32" s="209" t="s">
        <v>763</v>
      </c>
      <c r="V32" s="209"/>
      <c r="W32" s="209" t="s">
        <v>764</v>
      </c>
      <c r="X32" s="143"/>
    </row>
    <row r="33" spans="2:24" s="146" customFormat="1" ht="173.25">
      <c r="B33" s="131" t="s">
        <v>821</v>
      </c>
      <c r="C33" s="143"/>
      <c r="D33" s="144" t="s">
        <v>768</v>
      </c>
      <c r="E33" s="143"/>
      <c r="F33" s="208" t="s">
        <v>824</v>
      </c>
      <c r="G33" s="144"/>
      <c r="H33" s="144"/>
      <c r="I33" s="143"/>
      <c r="J33" s="144"/>
      <c r="K33" s="143"/>
      <c r="L33" s="208" t="s">
        <v>759</v>
      </c>
      <c r="M33" s="211"/>
      <c r="N33" s="208" t="s">
        <v>759</v>
      </c>
      <c r="O33" s="209" t="s">
        <v>806</v>
      </c>
      <c r="P33" s="143"/>
      <c r="Q33" s="209" t="s">
        <v>761</v>
      </c>
      <c r="R33" s="143"/>
      <c r="S33" s="209" t="s">
        <v>770</v>
      </c>
      <c r="T33" s="143"/>
      <c r="U33" s="209" t="s">
        <v>763</v>
      </c>
      <c r="V33" s="209"/>
      <c r="W33" s="209" t="s">
        <v>764</v>
      </c>
      <c r="X33" s="143"/>
    </row>
    <row r="34" spans="2:24" s="146" customFormat="1" ht="189">
      <c r="B34" s="131" t="s">
        <v>821</v>
      </c>
      <c r="C34" s="143"/>
      <c r="D34" s="144" t="s">
        <v>771</v>
      </c>
      <c r="E34" s="143"/>
      <c r="F34" s="208" t="s">
        <v>825</v>
      </c>
      <c r="G34" s="144"/>
      <c r="H34" s="144"/>
      <c r="I34" s="143"/>
      <c r="J34" s="144"/>
      <c r="K34" s="143"/>
      <c r="L34" s="208" t="s">
        <v>759</v>
      </c>
      <c r="M34" s="211"/>
      <c r="N34" s="208" t="s">
        <v>759</v>
      </c>
      <c r="O34" s="209" t="s">
        <v>806</v>
      </c>
      <c r="P34" s="143"/>
      <c r="Q34" s="209" t="s">
        <v>761</v>
      </c>
      <c r="R34" s="143"/>
      <c r="S34" s="209" t="s">
        <v>773</v>
      </c>
      <c r="T34" s="143"/>
      <c r="U34" s="209" t="s">
        <v>763</v>
      </c>
      <c r="V34" s="209"/>
      <c r="W34" s="209" t="s">
        <v>764</v>
      </c>
      <c r="X34" s="143"/>
    </row>
    <row r="35" spans="2:24" s="146" customFormat="1" ht="189">
      <c r="B35" s="131" t="s">
        <v>821</v>
      </c>
      <c r="C35" s="143"/>
      <c r="D35" s="144" t="s">
        <v>826</v>
      </c>
      <c r="E35" s="143"/>
      <c r="F35" s="208" t="s">
        <v>827</v>
      </c>
      <c r="G35" s="144"/>
      <c r="H35" s="144"/>
      <c r="I35" s="143"/>
      <c r="J35" s="144"/>
      <c r="K35" s="143"/>
      <c r="L35" s="208" t="s">
        <v>759</v>
      </c>
      <c r="M35" s="211"/>
      <c r="N35" s="208" t="s">
        <v>759</v>
      </c>
      <c r="O35" s="209" t="s">
        <v>806</v>
      </c>
      <c r="P35" s="143"/>
      <c r="Q35" s="209" t="s">
        <v>761</v>
      </c>
      <c r="R35" s="143"/>
      <c r="S35" s="209" t="s">
        <v>776</v>
      </c>
      <c r="T35" s="143"/>
      <c r="U35" s="209" t="s">
        <v>763</v>
      </c>
      <c r="V35" s="209"/>
      <c r="W35" s="209" t="s">
        <v>764</v>
      </c>
      <c r="X35" s="143"/>
    </row>
    <row r="36" spans="2:24" s="146" customFormat="1" ht="103.5" customHeight="1">
      <c r="B36" s="144" t="s">
        <v>828</v>
      </c>
      <c r="C36" s="143"/>
      <c r="D36" s="144" t="s">
        <v>794</v>
      </c>
      <c r="E36" s="143"/>
      <c r="F36" s="208" t="s">
        <v>759</v>
      </c>
      <c r="G36" s="144"/>
      <c r="H36" s="144" t="s">
        <v>778</v>
      </c>
      <c r="I36" s="143"/>
      <c r="J36" s="144" t="s">
        <v>795</v>
      </c>
      <c r="K36" s="143"/>
      <c r="L36" s="144" t="s">
        <v>829</v>
      </c>
      <c r="M36" s="211">
        <v>835</v>
      </c>
      <c r="N36" s="163" t="s">
        <v>830</v>
      </c>
      <c r="O36" s="209" t="s">
        <v>806</v>
      </c>
      <c r="P36" s="143"/>
      <c r="Q36" s="209" t="s">
        <v>761</v>
      </c>
      <c r="R36" s="143"/>
      <c r="S36" s="209" t="s">
        <v>831</v>
      </c>
      <c r="T36" s="143"/>
      <c r="U36" s="209" t="s">
        <v>763</v>
      </c>
      <c r="V36" s="209"/>
      <c r="W36" s="209" t="s">
        <v>764</v>
      </c>
      <c r="X36" s="143"/>
    </row>
    <row r="37" spans="2:24" s="146" customFormat="1" ht="110.25">
      <c r="B37" s="131" t="s">
        <v>832</v>
      </c>
      <c r="C37" s="143"/>
      <c r="D37" s="144" t="s">
        <v>757</v>
      </c>
      <c r="E37" s="143"/>
      <c r="F37" s="208" t="s">
        <v>833</v>
      </c>
      <c r="G37" s="144"/>
      <c r="H37" s="144"/>
      <c r="I37" s="143"/>
      <c r="J37" s="144"/>
      <c r="K37" s="143"/>
      <c r="L37" s="208" t="s">
        <v>759</v>
      </c>
      <c r="M37" s="211"/>
      <c r="N37" s="208" t="s">
        <v>759</v>
      </c>
      <c r="O37" s="209" t="s">
        <v>834</v>
      </c>
      <c r="P37" s="143"/>
      <c r="Q37" s="209" t="s">
        <v>761</v>
      </c>
      <c r="R37" s="143"/>
      <c r="S37" s="209" t="s">
        <v>762</v>
      </c>
      <c r="T37" s="143"/>
      <c r="U37" s="209" t="s">
        <v>763</v>
      </c>
      <c r="V37" s="209"/>
      <c r="W37" s="209" t="s">
        <v>764</v>
      </c>
      <c r="X37" s="143"/>
    </row>
    <row r="38" spans="2:24" s="146" customFormat="1" ht="110.25">
      <c r="B38" s="131" t="s">
        <v>832</v>
      </c>
      <c r="C38" s="143"/>
      <c r="D38" s="144" t="s">
        <v>765</v>
      </c>
      <c r="E38" s="143"/>
      <c r="F38" s="208" t="s">
        <v>835</v>
      </c>
      <c r="G38" s="144"/>
      <c r="H38" s="144"/>
      <c r="I38" s="143"/>
      <c r="J38" s="144"/>
      <c r="K38" s="143"/>
      <c r="L38" s="208" t="s">
        <v>759</v>
      </c>
      <c r="M38" s="211"/>
      <c r="N38" s="208" t="s">
        <v>759</v>
      </c>
      <c r="O38" s="209" t="s">
        <v>834</v>
      </c>
      <c r="P38" s="143"/>
      <c r="Q38" s="209" t="s">
        <v>761</v>
      </c>
      <c r="R38" s="143"/>
      <c r="S38" s="209" t="s">
        <v>767</v>
      </c>
      <c r="T38" s="143"/>
      <c r="U38" s="209" t="s">
        <v>763</v>
      </c>
      <c r="V38" s="209"/>
      <c r="W38" s="209" t="s">
        <v>764</v>
      </c>
      <c r="X38" s="143"/>
    </row>
    <row r="39" spans="2:24" s="146" customFormat="1" ht="110.25">
      <c r="B39" s="131" t="s">
        <v>832</v>
      </c>
      <c r="C39" s="143"/>
      <c r="D39" s="144" t="s">
        <v>768</v>
      </c>
      <c r="E39" s="143"/>
      <c r="F39" s="208" t="s">
        <v>836</v>
      </c>
      <c r="G39" s="144"/>
      <c r="H39" s="144"/>
      <c r="I39" s="143"/>
      <c r="J39" s="144"/>
      <c r="K39" s="143"/>
      <c r="L39" s="208" t="s">
        <v>759</v>
      </c>
      <c r="M39" s="211"/>
      <c r="N39" s="208" t="s">
        <v>759</v>
      </c>
      <c r="O39" s="209" t="s">
        <v>834</v>
      </c>
      <c r="P39" s="143"/>
      <c r="Q39" s="209" t="s">
        <v>761</v>
      </c>
      <c r="R39" s="143"/>
      <c r="S39" s="209" t="s">
        <v>770</v>
      </c>
      <c r="T39" s="143"/>
      <c r="U39" s="209" t="s">
        <v>763</v>
      </c>
      <c r="V39" s="209"/>
      <c r="W39" s="209" t="s">
        <v>764</v>
      </c>
      <c r="X39" s="143"/>
    </row>
    <row r="40" spans="2:24" s="146" customFormat="1" ht="141.75">
      <c r="B40" s="131" t="s">
        <v>832</v>
      </c>
      <c r="C40" s="143"/>
      <c r="D40" s="144" t="s">
        <v>771</v>
      </c>
      <c r="E40" s="143"/>
      <c r="F40" s="208" t="s">
        <v>837</v>
      </c>
      <c r="G40" s="144"/>
      <c r="H40" s="144"/>
      <c r="I40" s="143"/>
      <c r="J40" s="144"/>
      <c r="K40" s="143"/>
      <c r="L40" s="208" t="s">
        <v>759</v>
      </c>
      <c r="M40" s="211"/>
      <c r="N40" s="208" t="s">
        <v>759</v>
      </c>
      <c r="O40" s="209" t="s">
        <v>834</v>
      </c>
      <c r="P40" s="143"/>
      <c r="Q40" s="209" t="s">
        <v>761</v>
      </c>
      <c r="R40" s="143"/>
      <c r="S40" s="209" t="s">
        <v>773</v>
      </c>
      <c r="T40" s="143"/>
      <c r="U40" s="209" t="s">
        <v>763</v>
      </c>
      <c r="V40" s="209"/>
      <c r="W40" s="209" t="s">
        <v>764</v>
      </c>
      <c r="X40" s="143"/>
    </row>
    <row r="41" spans="2:24" s="146" customFormat="1" ht="126">
      <c r="B41" s="131" t="s">
        <v>832</v>
      </c>
      <c r="C41" s="143"/>
      <c r="D41" s="144" t="s">
        <v>838</v>
      </c>
      <c r="E41" s="143"/>
      <c r="F41" s="208" t="s">
        <v>839</v>
      </c>
      <c r="G41" s="144"/>
      <c r="H41" s="144"/>
      <c r="I41" s="143"/>
      <c r="J41" s="144"/>
      <c r="K41" s="143"/>
      <c r="L41" s="208" t="s">
        <v>759</v>
      </c>
      <c r="M41" s="211"/>
      <c r="N41" s="208" t="s">
        <v>759</v>
      </c>
      <c r="O41" s="209" t="s">
        <v>834</v>
      </c>
      <c r="P41" s="143"/>
      <c r="Q41" s="209" t="s">
        <v>761</v>
      </c>
      <c r="R41" s="143"/>
      <c r="S41" s="209" t="s">
        <v>776</v>
      </c>
      <c r="T41" s="143"/>
      <c r="U41" s="209" t="s">
        <v>763</v>
      </c>
      <c r="V41" s="209"/>
      <c r="W41" s="209" t="s">
        <v>764</v>
      </c>
      <c r="X41" s="143"/>
    </row>
    <row r="42" spans="2:24" s="146" customFormat="1" ht="120">
      <c r="B42" s="131" t="s">
        <v>832</v>
      </c>
      <c r="C42" s="143"/>
      <c r="D42" s="144" t="s">
        <v>840</v>
      </c>
      <c r="E42" s="143"/>
      <c r="F42" s="208" t="s">
        <v>759</v>
      </c>
      <c r="G42" s="144"/>
      <c r="H42" s="144" t="s">
        <v>778</v>
      </c>
      <c r="I42" s="143"/>
      <c r="J42" s="144" t="s">
        <v>795</v>
      </c>
      <c r="K42" s="143"/>
      <c r="L42" s="131" t="s">
        <v>841</v>
      </c>
      <c r="M42" s="211">
        <v>3106</v>
      </c>
      <c r="N42" s="163" t="s">
        <v>842</v>
      </c>
      <c r="O42" s="209" t="s">
        <v>834</v>
      </c>
      <c r="P42" s="143"/>
      <c r="Q42" s="209" t="s">
        <v>761</v>
      </c>
      <c r="R42" s="143"/>
      <c r="S42" s="209" t="s">
        <v>843</v>
      </c>
      <c r="T42" s="143"/>
      <c r="U42" s="209" t="s">
        <v>763</v>
      </c>
      <c r="V42" s="209"/>
      <c r="W42" s="209" t="s">
        <v>764</v>
      </c>
      <c r="X42" s="143"/>
    </row>
    <row r="43" spans="2:24" s="146" customFormat="1" ht="105">
      <c r="B43" s="131" t="s">
        <v>844</v>
      </c>
      <c r="C43" s="143"/>
      <c r="D43" s="144" t="s">
        <v>757</v>
      </c>
      <c r="E43" s="143"/>
      <c r="F43" s="208" t="s">
        <v>845</v>
      </c>
      <c r="G43" s="144"/>
      <c r="H43" s="131"/>
      <c r="I43" s="143"/>
      <c r="J43" s="131"/>
      <c r="K43" s="143"/>
      <c r="L43" s="208" t="s">
        <v>759</v>
      </c>
      <c r="M43" s="211"/>
      <c r="N43" s="208" t="s">
        <v>759</v>
      </c>
      <c r="O43" s="209" t="s">
        <v>834</v>
      </c>
      <c r="P43" s="143"/>
      <c r="Q43" s="209" t="s">
        <v>761</v>
      </c>
      <c r="R43" s="143"/>
      <c r="S43" s="209" t="s">
        <v>762</v>
      </c>
      <c r="T43" s="143"/>
      <c r="U43" s="209" t="s">
        <v>763</v>
      </c>
      <c r="V43" s="209"/>
      <c r="W43" s="209" t="s">
        <v>764</v>
      </c>
      <c r="X43" s="143"/>
    </row>
    <row r="44" spans="2:24" s="146" customFormat="1" ht="105">
      <c r="B44" s="131" t="s">
        <v>844</v>
      </c>
      <c r="C44" s="143"/>
      <c r="D44" s="144" t="s">
        <v>765</v>
      </c>
      <c r="E44" s="143"/>
      <c r="F44" s="208" t="s">
        <v>846</v>
      </c>
      <c r="G44" s="144"/>
      <c r="H44" s="131"/>
      <c r="I44" s="143"/>
      <c r="J44" s="131"/>
      <c r="K44" s="143"/>
      <c r="L44" s="208" t="s">
        <v>759</v>
      </c>
      <c r="M44" s="211"/>
      <c r="N44" s="208" t="s">
        <v>759</v>
      </c>
      <c r="O44" s="209" t="s">
        <v>834</v>
      </c>
      <c r="P44" s="143"/>
      <c r="Q44" s="209" t="s">
        <v>761</v>
      </c>
      <c r="R44" s="143"/>
      <c r="S44" s="209" t="s">
        <v>767</v>
      </c>
      <c r="T44" s="143"/>
      <c r="U44" s="209" t="s">
        <v>763</v>
      </c>
      <c r="V44" s="209"/>
      <c r="W44" s="209" t="s">
        <v>764</v>
      </c>
      <c r="X44" s="143"/>
    </row>
    <row r="45" spans="2:24" s="146" customFormat="1" ht="105">
      <c r="B45" s="131" t="s">
        <v>844</v>
      </c>
      <c r="C45" s="143"/>
      <c r="D45" s="144" t="s">
        <v>768</v>
      </c>
      <c r="E45" s="143"/>
      <c r="F45" s="208" t="s">
        <v>847</v>
      </c>
      <c r="G45" s="144"/>
      <c r="H45" s="131"/>
      <c r="I45" s="143"/>
      <c r="J45" s="131"/>
      <c r="K45" s="143"/>
      <c r="L45" s="208" t="s">
        <v>759</v>
      </c>
      <c r="M45" s="211"/>
      <c r="N45" s="208" t="s">
        <v>759</v>
      </c>
      <c r="O45" s="209" t="s">
        <v>834</v>
      </c>
      <c r="P45" s="143"/>
      <c r="Q45" s="209" t="s">
        <v>761</v>
      </c>
      <c r="R45" s="143"/>
      <c r="S45" s="209" t="s">
        <v>770</v>
      </c>
      <c r="T45" s="143"/>
      <c r="U45" s="209" t="s">
        <v>763</v>
      </c>
      <c r="V45" s="209"/>
      <c r="W45" s="209" t="s">
        <v>764</v>
      </c>
      <c r="X45" s="143"/>
    </row>
    <row r="46" spans="2:24" s="146" customFormat="1" ht="110.25">
      <c r="B46" s="131" t="s">
        <v>844</v>
      </c>
      <c r="C46" s="143"/>
      <c r="D46" s="144" t="s">
        <v>771</v>
      </c>
      <c r="E46" s="143"/>
      <c r="F46" s="208" t="s">
        <v>848</v>
      </c>
      <c r="G46" s="144"/>
      <c r="H46" s="131"/>
      <c r="I46" s="143"/>
      <c r="J46" s="131"/>
      <c r="K46" s="143"/>
      <c r="L46" s="208" t="s">
        <v>759</v>
      </c>
      <c r="M46" s="211"/>
      <c r="N46" s="208" t="s">
        <v>759</v>
      </c>
      <c r="O46" s="209" t="s">
        <v>834</v>
      </c>
      <c r="P46" s="143"/>
      <c r="Q46" s="209" t="s">
        <v>761</v>
      </c>
      <c r="R46" s="143"/>
      <c r="S46" s="209" t="s">
        <v>773</v>
      </c>
      <c r="T46" s="143"/>
      <c r="U46" s="209" t="s">
        <v>763</v>
      </c>
      <c r="V46" s="209"/>
      <c r="W46" s="209" t="s">
        <v>764</v>
      </c>
      <c r="X46" s="143"/>
    </row>
    <row r="47" spans="2:24" s="146" customFormat="1" ht="110.25">
      <c r="B47" s="131" t="s">
        <v>844</v>
      </c>
      <c r="C47" s="143"/>
      <c r="D47" s="144" t="s">
        <v>849</v>
      </c>
      <c r="E47" s="143"/>
      <c r="F47" s="208" t="s">
        <v>850</v>
      </c>
      <c r="G47" s="144"/>
      <c r="H47" s="131"/>
      <c r="I47" s="143"/>
      <c r="J47" s="131"/>
      <c r="K47" s="143"/>
      <c r="L47" s="208" t="s">
        <v>759</v>
      </c>
      <c r="M47" s="211"/>
      <c r="N47" s="208" t="s">
        <v>759</v>
      </c>
      <c r="O47" s="209" t="s">
        <v>834</v>
      </c>
      <c r="P47" s="143"/>
      <c r="Q47" s="209" t="s">
        <v>761</v>
      </c>
      <c r="R47" s="143"/>
      <c r="S47" s="209" t="s">
        <v>776</v>
      </c>
      <c r="T47" s="143"/>
      <c r="U47" s="209" t="s">
        <v>763</v>
      </c>
      <c r="V47" s="209"/>
      <c r="W47" s="209" t="s">
        <v>764</v>
      </c>
      <c r="X47" s="143"/>
    </row>
    <row r="48" spans="2:24" s="146" customFormat="1" ht="135">
      <c r="B48" s="144" t="s">
        <v>844</v>
      </c>
      <c r="C48" s="143"/>
      <c r="D48" s="144" t="s">
        <v>840</v>
      </c>
      <c r="E48" s="143"/>
      <c r="F48" s="208" t="s">
        <v>759</v>
      </c>
      <c r="G48" s="144"/>
      <c r="H48" s="144" t="s">
        <v>778</v>
      </c>
      <c r="I48" s="143"/>
      <c r="J48" s="144" t="s">
        <v>795</v>
      </c>
      <c r="K48" s="143"/>
      <c r="L48" s="131" t="s">
        <v>851</v>
      </c>
      <c r="M48" s="211">
        <v>2112</v>
      </c>
      <c r="N48" s="163" t="s">
        <v>852</v>
      </c>
      <c r="O48" s="209" t="s">
        <v>834</v>
      </c>
      <c r="P48" s="143"/>
      <c r="Q48" s="209" t="s">
        <v>761</v>
      </c>
      <c r="R48" s="143"/>
      <c r="S48" s="209" t="s">
        <v>853</v>
      </c>
      <c r="T48" s="143"/>
      <c r="U48" s="209" t="s">
        <v>763</v>
      </c>
      <c r="V48" s="209"/>
      <c r="W48" s="209" t="s">
        <v>764</v>
      </c>
      <c r="X48" s="143"/>
    </row>
    <row r="49" spans="2:24" s="146" customFormat="1" ht="157.5">
      <c r="B49" s="131" t="s">
        <v>854</v>
      </c>
      <c r="C49" s="143"/>
      <c r="D49" s="144" t="s">
        <v>757</v>
      </c>
      <c r="E49" s="143"/>
      <c r="F49" s="208" t="s">
        <v>855</v>
      </c>
      <c r="G49" s="144"/>
      <c r="H49" s="144"/>
      <c r="I49" s="143"/>
      <c r="J49" s="144"/>
      <c r="K49" s="143"/>
      <c r="L49" s="208" t="s">
        <v>759</v>
      </c>
      <c r="M49" s="211"/>
      <c r="N49" s="208" t="s">
        <v>759</v>
      </c>
      <c r="O49" s="209" t="s">
        <v>834</v>
      </c>
      <c r="P49" s="143"/>
      <c r="Q49" s="209" t="s">
        <v>761</v>
      </c>
      <c r="R49" s="143"/>
      <c r="S49" s="209" t="s">
        <v>762</v>
      </c>
      <c r="T49" s="143"/>
      <c r="U49" s="209" t="s">
        <v>763</v>
      </c>
      <c r="V49" s="209"/>
      <c r="W49" s="209" t="s">
        <v>764</v>
      </c>
      <c r="X49" s="143"/>
    </row>
    <row r="50" spans="2:24" s="146" customFormat="1" ht="157.5">
      <c r="B50" s="131" t="s">
        <v>854</v>
      </c>
      <c r="C50" s="143"/>
      <c r="D50" s="144" t="s">
        <v>765</v>
      </c>
      <c r="E50" s="143"/>
      <c r="F50" s="208" t="s">
        <v>856</v>
      </c>
      <c r="G50" s="144"/>
      <c r="H50" s="144"/>
      <c r="I50" s="143"/>
      <c r="J50" s="144"/>
      <c r="K50" s="143"/>
      <c r="L50" s="208" t="s">
        <v>759</v>
      </c>
      <c r="M50" s="211"/>
      <c r="N50" s="208" t="s">
        <v>759</v>
      </c>
      <c r="O50" s="209" t="s">
        <v>834</v>
      </c>
      <c r="P50" s="143"/>
      <c r="Q50" s="209" t="s">
        <v>761</v>
      </c>
      <c r="R50" s="143"/>
      <c r="S50" s="209" t="s">
        <v>767</v>
      </c>
      <c r="T50" s="143"/>
      <c r="U50" s="209" t="s">
        <v>763</v>
      </c>
      <c r="V50" s="209"/>
      <c r="W50" s="209" t="s">
        <v>764</v>
      </c>
      <c r="X50" s="143"/>
    </row>
    <row r="51" spans="2:24" s="146" customFormat="1" ht="157.5">
      <c r="B51" s="131" t="s">
        <v>854</v>
      </c>
      <c r="C51" s="143"/>
      <c r="D51" s="144" t="s">
        <v>768</v>
      </c>
      <c r="E51" s="143"/>
      <c r="F51" s="208" t="s">
        <v>857</v>
      </c>
      <c r="G51" s="144"/>
      <c r="H51" s="144"/>
      <c r="I51" s="143"/>
      <c r="J51" s="144"/>
      <c r="K51" s="143"/>
      <c r="L51" s="208" t="s">
        <v>759</v>
      </c>
      <c r="M51" s="211"/>
      <c r="N51" s="208" t="s">
        <v>759</v>
      </c>
      <c r="O51" s="209" t="s">
        <v>834</v>
      </c>
      <c r="P51" s="143"/>
      <c r="Q51" s="209" t="s">
        <v>761</v>
      </c>
      <c r="R51" s="143"/>
      <c r="S51" s="209" t="s">
        <v>770</v>
      </c>
      <c r="T51" s="143"/>
      <c r="U51" s="209" t="s">
        <v>763</v>
      </c>
      <c r="V51" s="209"/>
      <c r="W51" s="209" t="s">
        <v>764</v>
      </c>
      <c r="X51" s="143"/>
    </row>
    <row r="52" spans="2:24" s="146" customFormat="1" ht="173.25">
      <c r="B52" s="131" t="s">
        <v>854</v>
      </c>
      <c r="C52" s="143"/>
      <c r="D52" s="144" t="s">
        <v>771</v>
      </c>
      <c r="E52" s="143"/>
      <c r="F52" s="208" t="s">
        <v>858</v>
      </c>
      <c r="G52" s="144"/>
      <c r="H52" s="144"/>
      <c r="I52" s="143"/>
      <c r="J52" s="144"/>
      <c r="K52" s="143"/>
      <c r="L52" s="208" t="s">
        <v>759</v>
      </c>
      <c r="M52" s="211"/>
      <c r="N52" s="208" t="s">
        <v>759</v>
      </c>
      <c r="O52" s="209" t="s">
        <v>834</v>
      </c>
      <c r="P52" s="143"/>
      <c r="Q52" s="209" t="s">
        <v>761</v>
      </c>
      <c r="R52" s="143"/>
      <c r="S52" s="209" t="s">
        <v>773</v>
      </c>
      <c r="T52" s="143"/>
      <c r="U52" s="209" t="s">
        <v>763</v>
      </c>
      <c r="V52" s="209"/>
      <c r="W52" s="209" t="s">
        <v>764</v>
      </c>
      <c r="X52" s="143"/>
    </row>
    <row r="53" spans="2:24" s="146" customFormat="1" ht="157.5">
      <c r="B53" s="131" t="s">
        <v>854</v>
      </c>
      <c r="C53" s="143"/>
      <c r="D53" s="144" t="s">
        <v>859</v>
      </c>
      <c r="E53" s="143"/>
      <c r="F53" s="208" t="s">
        <v>860</v>
      </c>
      <c r="G53" s="144"/>
      <c r="H53" s="144"/>
      <c r="I53" s="143"/>
      <c r="J53" s="144"/>
      <c r="K53" s="143"/>
      <c r="L53" s="208" t="s">
        <v>759</v>
      </c>
      <c r="M53" s="211"/>
      <c r="N53" s="208" t="s">
        <v>759</v>
      </c>
      <c r="O53" s="209" t="s">
        <v>834</v>
      </c>
      <c r="P53" s="143"/>
      <c r="Q53" s="209" t="s">
        <v>761</v>
      </c>
      <c r="R53" s="143"/>
      <c r="S53" s="209" t="s">
        <v>776</v>
      </c>
      <c r="T53" s="143"/>
      <c r="U53" s="209" t="s">
        <v>763</v>
      </c>
      <c r="V53" s="209"/>
      <c r="W53" s="209" t="s">
        <v>764</v>
      </c>
      <c r="X53" s="143"/>
    </row>
    <row r="54" spans="2:24" s="212" customFormat="1" ht="150">
      <c r="B54" s="144" t="s">
        <v>854</v>
      </c>
      <c r="C54" s="143"/>
      <c r="D54" s="144" t="s">
        <v>840</v>
      </c>
      <c r="E54" s="143"/>
      <c r="F54" s="208" t="s">
        <v>759</v>
      </c>
      <c r="G54" s="144"/>
      <c r="H54" s="144" t="s">
        <v>778</v>
      </c>
      <c r="I54" s="143"/>
      <c r="J54" s="144">
        <v>0</v>
      </c>
      <c r="K54" s="143"/>
      <c r="L54" s="144" t="s">
        <v>861</v>
      </c>
      <c r="M54" s="211">
        <v>220</v>
      </c>
      <c r="N54" s="163" t="s">
        <v>862</v>
      </c>
      <c r="O54" s="209" t="s">
        <v>863</v>
      </c>
      <c r="P54" s="143"/>
      <c r="Q54" s="209" t="s">
        <v>761</v>
      </c>
      <c r="R54" s="143"/>
      <c r="S54" s="209" t="s">
        <v>864</v>
      </c>
      <c r="T54" s="143"/>
      <c r="U54" s="209" t="s">
        <v>763</v>
      </c>
      <c r="V54" s="209"/>
      <c r="W54" s="209" t="s">
        <v>764</v>
      </c>
      <c r="X54" s="143"/>
    </row>
    <row r="55" spans="2:24" s="146" customFormat="1" ht="15.75">
      <c r="B55" s="213"/>
      <c r="D55" s="214"/>
      <c r="F55" s="215"/>
      <c r="G55" s="214"/>
      <c r="H55" s="214"/>
      <c r="J55" s="214"/>
      <c r="L55" s="215"/>
      <c r="M55" s="216"/>
      <c r="N55" s="215"/>
      <c r="O55" s="217"/>
      <c r="Q55" s="217"/>
      <c r="S55" s="217"/>
      <c r="U55" s="217"/>
      <c r="V55" s="217"/>
      <c r="W55" s="217"/>
    </row>
    <row r="56" spans="2:24" s="146" customFormat="1" ht="15.75">
      <c r="B56" s="213"/>
      <c r="D56" s="214"/>
      <c r="F56" s="215"/>
      <c r="G56" s="214"/>
      <c r="H56" s="214"/>
      <c r="J56" s="214"/>
      <c r="L56" s="215"/>
      <c r="M56" s="216"/>
      <c r="N56" s="215"/>
      <c r="O56" s="217"/>
      <c r="Q56" s="217"/>
      <c r="S56" s="217"/>
      <c r="U56" s="217"/>
      <c r="V56" s="217"/>
      <c r="W56" s="217"/>
    </row>
    <row r="57" spans="2:24" s="146" customFormat="1" ht="15.75">
      <c r="B57" s="213"/>
      <c r="D57" s="214"/>
      <c r="F57" s="215"/>
      <c r="G57" s="214"/>
      <c r="H57" s="214"/>
      <c r="J57" s="214"/>
      <c r="L57" s="215"/>
      <c r="M57" s="216"/>
      <c r="N57" s="215"/>
      <c r="O57" s="217"/>
      <c r="Q57" s="217"/>
      <c r="S57" s="217"/>
      <c r="U57" s="217"/>
      <c r="V57" s="217"/>
      <c r="W57" s="217"/>
    </row>
    <row r="58" spans="2:24" s="146" customFormat="1" ht="15.75">
      <c r="B58" s="213"/>
      <c r="D58" s="214"/>
      <c r="F58" s="215"/>
      <c r="G58" s="214"/>
      <c r="H58" s="214"/>
      <c r="J58" s="214"/>
      <c r="L58" s="215"/>
      <c r="M58" s="216"/>
      <c r="N58" s="215"/>
      <c r="O58" s="217"/>
      <c r="Q58" s="217"/>
      <c r="S58" s="217"/>
      <c r="U58" s="217"/>
      <c r="V58" s="217"/>
      <c r="W58" s="217"/>
    </row>
    <row r="59" spans="2:24" s="146" customFormat="1" ht="15.75">
      <c r="B59" s="213"/>
      <c r="D59" s="214"/>
      <c r="F59" s="215"/>
      <c r="G59" s="214"/>
      <c r="H59" s="214"/>
      <c r="J59" s="214"/>
      <c r="L59" s="215"/>
      <c r="M59" s="216"/>
      <c r="N59" s="215"/>
      <c r="O59" s="217"/>
      <c r="Q59" s="217"/>
      <c r="S59" s="217"/>
      <c r="U59" s="217"/>
      <c r="V59" s="217"/>
      <c r="W59" s="217"/>
    </row>
    <row r="60" spans="2:24" s="146" customFormat="1" ht="15.75">
      <c r="B60" s="214"/>
      <c r="D60" s="214"/>
      <c r="F60" s="215"/>
      <c r="G60" s="214"/>
      <c r="H60" s="214"/>
      <c r="J60" s="214"/>
      <c r="L60" s="214"/>
      <c r="M60" s="216"/>
      <c r="N60" s="218"/>
      <c r="O60" s="217"/>
      <c r="Q60" s="217"/>
      <c r="S60" s="217"/>
      <c r="U60" s="217"/>
      <c r="V60" s="217"/>
      <c r="W60" s="217"/>
    </row>
    <row r="61" spans="2:24" s="146" customFormat="1" ht="15.75">
      <c r="B61" s="213"/>
      <c r="D61" s="214"/>
      <c r="F61" s="215"/>
      <c r="G61" s="214"/>
      <c r="H61" s="214"/>
      <c r="J61" s="214"/>
      <c r="L61" s="215"/>
      <c r="M61" s="216"/>
      <c r="N61" s="215"/>
      <c r="O61" s="217"/>
      <c r="Q61" s="217"/>
      <c r="S61" s="217"/>
      <c r="U61" s="217"/>
      <c r="V61" s="217"/>
      <c r="W61" s="217"/>
    </row>
    <row r="62" spans="2:24" s="146" customFormat="1" ht="15.75">
      <c r="B62" s="213"/>
      <c r="D62" s="214"/>
      <c r="F62" s="215"/>
      <c r="G62" s="214"/>
      <c r="H62" s="214"/>
      <c r="J62" s="214"/>
      <c r="L62" s="215"/>
      <c r="M62" s="216"/>
      <c r="N62" s="215"/>
      <c r="O62" s="217"/>
      <c r="Q62" s="217"/>
      <c r="S62" s="217"/>
      <c r="U62" s="217"/>
      <c r="V62" s="217"/>
      <c r="W62" s="217"/>
    </row>
    <row r="63" spans="2:24" s="146" customFormat="1" ht="15.75">
      <c r="B63" s="213"/>
      <c r="D63" s="214"/>
      <c r="F63" s="215"/>
      <c r="G63" s="214"/>
      <c r="H63" s="214"/>
      <c r="J63" s="214"/>
      <c r="L63" s="215"/>
      <c r="M63" s="216"/>
      <c r="N63" s="215"/>
      <c r="O63" s="217"/>
      <c r="Q63" s="217"/>
      <c r="S63" s="217"/>
      <c r="U63" s="217"/>
      <c r="V63" s="217"/>
      <c r="W63" s="217"/>
    </row>
    <row r="64" spans="2:24" s="146" customFormat="1" ht="15.75">
      <c r="B64" s="213"/>
      <c r="D64" s="214"/>
      <c r="F64" s="215"/>
      <c r="G64" s="214"/>
      <c r="H64" s="214"/>
      <c r="J64" s="214"/>
      <c r="L64" s="215"/>
      <c r="M64" s="216"/>
      <c r="N64" s="215"/>
      <c r="O64" s="217"/>
      <c r="Q64" s="217"/>
      <c r="S64" s="217"/>
      <c r="U64" s="217"/>
      <c r="V64" s="217"/>
      <c r="W64" s="217"/>
    </row>
    <row r="65" spans="2:23" s="146" customFormat="1" ht="15.75">
      <c r="B65" s="213"/>
      <c r="D65" s="214"/>
      <c r="F65" s="215"/>
      <c r="G65" s="214"/>
      <c r="H65" s="214"/>
      <c r="J65" s="214"/>
      <c r="L65" s="215"/>
      <c r="M65" s="216"/>
      <c r="N65" s="215"/>
      <c r="O65" s="217"/>
      <c r="Q65" s="217"/>
      <c r="S65" s="217"/>
      <c r="U65" s="217"/>
      <c r="V65" s="217"/>
      <c r="W65" s="217"/>
    </row>
    <row r="66" spans="2:23" s="146" customFormat="1" ht="15.75">
      <c r="B66" s="214"/>
      <c r="D66" s="214"/>
      <c r="F66" s="215"/>
      <c r="G66" s="214"/>
      <c r="H66" s="214"/>
      <c r="J66" s="214"/>
      <c r="L66" s="214"/>
      <c r="M66" s="216"/>
      <c r="N66" s="218"/>
      <c r="O66" s="217"/>
      <c r="Q66" s="217"/>
      <c r="S66" s="219"/>
      <c r="U66" s="217"/>
      <c r="V66" s="217"/>
      <c r="W66" s="217"/>
    </row>
    <row r="67" spans="2:23" s="146" customFormat="1" ht="15.75">
      <c r="B67" s="213"/>
      <c r="D67" s="214"/>
      <c r="F67" s="215"/>
      <c r="G67" s="214"/>
      <c r="H67" s="214"/>
      <c r="J67" s="214"/>
      <c r="L67" s="215"/>
      <c r="M67" s="216"/>
      <c r="N67" s="215"/>
      <c r="O67" s="217"/>
      <c r="Q67" s="217"/>
      <c r="S67" s="217"/>
      <c r="U67" s="217"/>
      <c r="V67" s="217"/>
      <c r="W67" s="217"/>
    </row>
    <row r="68" spans="2:23" s="146" customFormat="1" ht="15.75">
      <c r="B68" s="213"/>
      <c r="D68" s="214"/>
      <c r="F68" s="215"/>
      <c r="G68" s="214"/>
      <c r="H68" s="214"/>
      <c r="J68" s="214"/>
      <c r="L68" s="215"/>
      <c r="M68" s="216"/>
      <c r="N68" s="215"/>
      <c r="O68" s="217"/>
      <c r="Q68" s="217"/>
      <c r="S68" s="217"/>
      <c r="U68" s="217"/>
      <c r="V68" s="217"/>
      <c r="W68" s="217"/>
    </row>
    <row r="69" spans="2:23" s="146" customFormat="1" ht="15.75">
      <c r="B69" s="213"/>
      <c r="D69" s="214"/>
      <c r="F69" s="215"/>
      <c r="G69" s="214"/>
      <c r="H69" s="214"/>
      <c r="J69" s="214"/>
      <c r="L69" s="215"/>
      <c r="M69" s="216"/>
      <c r="N69" s="215"/>
      <c r="O69" s="217"/>
      <c r="Q69" s="217"/>
      <c r="S69" s="217"/>
      <c r="U69" s="217"/>
      <c r="V69" s="217"/>
      <c r="W69" s="217"/>
    </row>
    <row r="70" spans="2:23" s="146" customFormat="1" ht="15.75">
      <c r="B70" s="213"/>
      <c r="D70" s="214"/>
      <c r="F70" s="215"/>
      <c r="G70" s="214"/>
      <c r="H70" s="214"/>
      <c r="J70" s="214"/>
      <c r="L70" s="215"/>
      <c r="M70" s="216"/>
      <c r="N70" s="215"/>
      <c r="O70" s="217"/>
      <c r="Q70" s="217"/>
      <c r="S70" s="217"/>
      <c r="U70" s="217"/>
      <c r="V70" s="217"/>
      <c r="W70" s="217"/>
    </row>
    <row r="71" spans="2:23" s="146" customFormat="1" ht="15.75">
      <c r="B71" s="213"/>
      <c r="D71" s="214"/>
      <c r="F71" s="215"/>
      <c r="G71" s="214"/>
      <c r="H71" s="214"/>
      <c r="J71" s="214"/>
      <c r="L71" s="215"/>
      <c r="M71" s="216"/>
      <c r="N71" s="215"/>
      <c r="O71" s="217"/>
      <c r="Q71" s="217"/>
      <c r="S71" s="217"/>
      <c r="U71" s="217"/>
      <c r="V71" s="217"/>
      <c r="W71" s="217"/>
    </row>
    <row r="72" spans="2:23" s="146" customFormat="1" ht="15.75">
      <c r="B72" s="214"/>
      <c r="D72" s="214"/>
      <c r="F72" s="215"/>
      <c r="G72" s="214"/>
      <c r="H72" s="214"/>
      <c r="J72" s="214"/>
      <c r="L72" s="214"/>
      <c r="M72" s="216"/>
      <c r="N72" s="218"/>
      <c r="O72" s="217"/>
      <c r="Q72" s="217"/>
      <c r="S72" s="217"/>
      <c r="U72" s="217"/>
      <c r="V72" s="217"/>
      <c r="W72" s="217"/>
    </row>
    <row r="182" ht="57.95" customHeight="1"/>
    <row r="236" ht="81.95" customHeight="1"/>
    <row r="271" ht="53.45" customHeight="1"/>
    <row r="272" ht="50.45" customHeight="1"/>
    <row r="283" ht="42.6" customHeight="1"/>
    <row r="284" ht="48.95" customHeight="1"/>
    <row r="285" ht="51.6" customHeight="1"/>
    <row r="286" ht="48.95" customHeight="1"/>
    <row r="300" ht="60.6" customHeight="1"/>
    <row r="684" ht="101.45" customHeight="1"/>
    <row r="685" ht="89.45" customHeight="1"/>
    <row r="686" ht="96.95" customHeight="1"/>
    <row r="687" ht="45.95" customHeight="1"/>
    <row r="688" ht="75" customHeight="1"/>
    <row r="689" ht="363.6" customHeight="1"/>
    <row r="690" ht="70.5" customHeight="1"/>
    <row r="691" ht="68.099999999999994" customHeight="1"/>
    <row r="692" ht="188.1" customHeight="1"/>
    <row r="693" ht="405.75" customHeight="1"/>
    <row r="694" ht="134.44999999999999" customHeight="1"/>
    <row r="695" ht="167.1" customHeight="1"/>
    <row r="696" ht="51" customHeight="1"/>
    <row r="697" ht="60.6" customHeight="1"/>
    <row r="698" ht="108" customHeight="1"/>
  </sheetData>
  <mergeCells count="3">
    <mergeCell ref="B2:X2"/>
    <mergeCell ref="H3:M3"/>
    <mergeCell ref="B5:M5"/>
  </mergeCells>
  <pageMargins left="0.7" right="0.7" top="0.75" bottom="0.75" header="0.3" footer="0.3"/>
  <pageSetup paperSize="8" scale="45" fitToHeight="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0924-406C-4AEF-8C98-5017ACC27A70}">
  <dimension ref="A1:Y30"/>
  <sheetViews>
    <sheetView showGridLines="0" topLeftCell="B1" zoomScale="85" zoomScaleNormal="85" workbookViewId="0">
      <pane ySplit="4" topLeftCell="A5" activePane="bottomLeft" state="frozen"/>
      <selection pane="bottomLeft" activeCell="B2" sqref="B2:X2"/>
    </sheetView>
  </sheetViews>
  <sheetFormatPr defaultRowHeight="15"/>
  <cols>
    <col min="1" max="1" width="2.42578125" customWidth="1"/>
    <col min="2" max="2" width="50.42578125" customWidth="1"/>
    <col min="3" max="3" width="19.85546875" hidden="1" customWidth="1"/>
    <col min="4" max="4" width="20.140625" bestFit="1" customWidth="1"/>
    <col min="5" max="5" width="21.140625" hidden="1" customWidth="1"/>
    <col min="6" max="6" width="18.140625" customWidth="1"/>
    <col min="7" max="7" width="42.7109375" hidden="1" customWidth="1"/>
    <col min="8" max="8" width="16.5703125" bestFit="1" customWidth="1"/>
    <col min="9" max="9" width="18.28515625" hidden="1" customWidth="1"/>
    <col min="10" max="10" width="13" bestFit="1" customWidth="1"/>
    <col min="11" max="11" width="10.140625" hidden="1" customWidth="1"/>
    <col min="12" max="12" width="18.5703125" customWidth="1"/>
    <col min="13" max="13" width="6.5703125" hidden="1" customWidth="1"/>
    <col min="14" max="14" width="14.42578125" bestFit="1" customWidth="1"/>
    <col min="15" max="15" width="8.42578125" bestFit="1" customWidth="1"/>
    <col min="16" max="16" width="0" hidden="1" customWidth="1"/>
    <col min="17" max="17" width="12" bestFit="1" customWidth="1"/>
    <col min="18" max="18" width="16.140625" hidden="1" customWidth="1"/>
    <col min="19" max="19" width="15.42578125" bestFit="1" customWidth="1"/>
    <col min="20" max="20" width="16.5703125" hidden="1" customWidth="1"/>
    <col min="21" max="21" width="9" bestFit="1" customWidth="1"/>
    <col min="22" max="22" width="8.7109375" hidden="1" customWidth="1"/>
    <col min="23" max="23" width="9" bestFit="1" customWidth="1"/>
    <col min="24" max="24" width="8.85546875" hidden="1" customWidth="1"/>
    <col min="25" max="25" width="16.7109375" customWidth="1"/>
  </cols>
  <sheetData>
    <row r="1" spans="1:25" ht="15.75" thickBot="1"/>
    <row r="2" spans="1:25"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1:25" ht="79.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220" t="s">
        <v>18</v>
      </c>
      <c r="Y3" s="221" t="s">
        <v>865</v>
      </c>
    </row>
    <row r="4" spans="1:25"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c r="Y4" s="222" t="s">
        <v>866</v>
      </c>
    </row>
    <row r="5" spans="1:25" ht="15.75">
      <c r="B5" s="635" t="s">
        <v>867</v>
      </c>
      <c r="C5" s="636"/>
      <c r="D5" s="636"/>
      <c r="E5" s="636"/>
      <c r="F5" s="636"/>
      <c r="G5" s="636"/>
      <c r="H5" s="636"/>
      <c r="I5" s="636"/>
      <c r="J5" s="636"/>
      <c r="K5" s="636"/>
      <c r="L5" s="636"/>
      <c r="M5" s="637"/>
    </row>
    <row r="6" spans="1:25" s="105" customFormat="1" ht="62.25" customHeight="1">
      <c r="B6" s="103" t="s">
        <v>868</v>
      </c>
      <c r="C6" s="107"/>
      <c r="D6" s="223" t="s">
        <v>869</v>
      </c>
      <c r="E6" s="103"/>
      <c r="F6" s="103" t="s">
        <v>870</v>
      </c>
      <c r="G6" s="103"/>
      <c r="H6" s="107"/>
      <c r="I6" s="104"/>
      <c r="J6" s="104"/>
      <c r="K6" s="104"/>
      <c r="L6" s="104"/>
      <c r="M6" s="104"/>
      <c r="N6" s="103" t="s">
        <v>537</v>
      </c>
      <c r="O6" s="107" t="s">
        <v>871</v>
      </c>
      <c r="P6" s="107"/>
      <c r="Q6" s="107" t="s">
        <v>872</v>
      </c>
      <c r="R6" s="107"/>
      <c r="S6" s="107" t="s">
        <v>873</v>
      </c>
      <c r="T6" s="107"/>
      <c r="U6" s="107" t="s">
        <v>874</v>
      </c>
      <c r="V6" s="107"/>
      <c r="W6" s="107" t="s">
        <v>875</v>
      </c>
      <c r="X6" s="107"/>
      <c r="Y6" s="107"/>
    </row>
    <row r="7" spans="1:25" s="105" customFormat="1" ht="62.25" customHeight="1">
      <c r="B7" s="103" t="s">
        <v>876</v>
      </c>
      <c r="C7" s="107"/>
      <c r="D7" s="103" t="s">
        <v>877</v>
      </c>
      <c r="E7" s="103"/>
      <c r="F7" s="103" t="s">
        <v>878</v>
      </c>
      <c r="G7" s="103"/>
      <c r="H7" s="224" t="s">
        <v>879</v>
      </c>
      <c r="I7" s="104"/>
      <c r="J7" s="104"/>
      <c r="K7" s="104"/>
      <c r="L7" s="225">
        <v>16050</v>
      </c>
      <c r="M7" s="104"/>
      <c r="N7" s="103" t="s">
        <v>537</v>
      </c>
      <c r="O7" s="107" t="s">
        <v>880</v>
      </c>
      <c r="P7" s="107"/>
      <c r="Q7" s="107" t="s">
        <v>872</v>
      </c>
      <c r="R7" s="107"/>
      <c r="S7" s="107" t="s">
        <v>881</v>
      </c>
      <c r="T7" s="107"/>
      <c r="U7" s="107" t="s">
        <v>882</v>
      </c>
      <c r="V7" s="107"/>
      <c r="W7" s="107" t="s">
        <v>883</v>
      </c>
      <c r="X7" s="107"/>
      <c r="Y7" s="107"/>
    </row>
    <row r="8" spans="1:25" s="105" customFormat="1" ht="62.25" customHeight="1">
      <c r="B8" s="103" t="s">
        <v>868</v>
      </c>
      <c r="C8" s="107"/>
      <c r="D8" s="103" t="s">
        <v>884</v>
      </c>
      <c r="E8" s="103"/>
      <c r="F8" s="103" t="s">
        <v>885</v>
      </c>
      <c r="G8" s="103"/>
      <c r="H8" s="107"/>
      <c r="I8" s="104"/>
      <c r="J8" s="104"/>
      <c r="K8" s="104"/>
      <c r="L8" s="104"/>
      <c r="M8" s="104"/>
      <c r="N8" s="103" t="s">
        <v>537</v>
      </c>
      <c r="O8" s="107" t="s">
        <v>886</v>
      </c>
      <c r="P8" s="107"/>
      <c r="Q8" s="107" t="s">
        <v>872</v>
      </c>
      <c r="R8" s="107"/>
      <c r="S8" s="107" t="s">
        <v>887</v>
      </c>
      <c r="T8" s="107"/>
      <c r="U8" s="107" t="s">
        <v>888</v>
      </c>
      <c r="V8" s="107"/>
      <c r="W8" s="107" t="s">
        <v>889</v>
      </c>
      <c r="X8" s="107"/>
      <c r="Y8" s="107"/>
    </row>
    <row r="9" spans="1:25" s="105" customFormat="1" ht="62.25" customHeight="1">
      <c r="B9" s="103" t="s">
        <v>868</v>
      </c>
      <c r="C9" s="107"/>
      <c r="D9" s="103" t="s">
        <v>890</v>
      </c>
      <c r="E9" s="103"/>
      <c r="F9" s="103" t="s">
        <v>891</v>
      </c>
      <c r="G9" s="103"/>
      <c r="H9" s="107"/>
      <c r="I9" s="104"/>
      <c r="J9" s="104"/>
      <c r="K9" s="104"/>
      <c r="L9" s="104"/>
      <c r="M9" s="104"/>
      <c r="N9" s="103" t="s">
        <v>537</v>
      </c>
      <c r="O9" s="107" t="s">
        <v>892</v>
      </c>
      <c r="P9" s="107"/>
      <c r="Q9" s="107" t="s">
        <v>872</v>
      </c>
      <c r="R9" s="107"/>
      <c r="S9" s="107" t="s">
        <v>893</v>
      </c>
      <c r="T9" s="107"/>
      <c r="U9" s="107" t="s">
        <v>894</v>
      </c>
      <c r="V9" s="107"/>
      <c r="W9" s="107" t="s">
        <v>895</v>
      </c>
      <c r="X9" s="107"/>
      <c r="Y9" s="107"/>
    </row>
    <row r="10" spans="1:25" s="105" customFormat="1" ht="62.25" customHeight="1">
      <c r="B10" s="144" t="s">
        <v>868</v>
      </c>
      <c r="C10" s="226"/>
      <c r="D10" s="144" t="s">
        <v>896</v>
      </c>
      <c r="E10" s="227"/>
      <c r="F10" s="144" t="s">
        <v>897</v>
      </c>
      <c r="G10" s="103"/>
      <c r="H10" s="224" t="s">
        <v>879</v>
      </c>
      <c r="I10" s="104"/>
      <c r="J10" s="228">
        <v>0</v>
      </c>
      <c r="K10" s="104"/>
      <c r="L10" s="229">
        <v>7356</v>
      </c>
      <c r="M10" s="104"/>
      <c r="N10" s="103" t="s">
        <v>192</v>
      </c>
      <c r="O10" s="107"/>
      <c r="P10" s="107"/>
      <c r="Q10" s="107"/>
      <c r="R10" s="107"/>
      <c r="S10" s="107"/>
      <c r="T10" s="107"/>
      <c r="U10" s="107"/>
      <c r="V10" s="107"/>
      <c r="W10" s="107"/>
      <c r="X10" s="107"/>
      <c r="Y10" s="230" t="s">
        <v>898</v>
      </c>
    </row>
    <row r="11" spans="1:25" s="105" customFormat="1" ht="62.25" customHeight="1">
      <c r="B11" s="144" t="s">
        <v>868</v>
      </c>
      <c r="C11" s="226"/>
      <c r="D11" s="144" t="s">
        <v>899</v>
      </c>
      <c r="E11" s="227"/>
      <c r="F11" s="144" t="s">
        <v>897</v>
      </c>
      <c r="G11" s="103"/>
      <c r="H11" s="224" t="s">
        <v>879</v>
      </c>
      <c r="I11" s="104"/>
      <c r="J11" s="160">
        <v>0</v>
      </c>
      <c r="K11" s="104"/>
      <c r="L11" s="229">
        <v>8694</v>
      </c>
      <c r="M11" s="104"/>
      <c r="N11" s="103" t="s">
        <v>900</v>
      </c>
      <c r="O11" s="107"/>
      <c r="P11" s="107"/>
      <c r="Q11" s="107"/>
      <c r="R11" s="107"/>
      <c r="S11" s="107"/>
      <c r="T11" s="107"/>
      <c r="U11" s="107"/>
      <c r="V11" s="107"/>
      <c r="W11" s="107"/>
      <c r="X11" s="107"/>
      <c r="Y11" s="231" t="s">
        <v>901</v>
      </c>
    </row>
    <row r="12" spans="1:25" s="105" customFormat="1" ht="62.25" customHeight="1">
      <c r="B12" s="144" t="s">
        <v>868</v>
      </c>
      <c r="C12" s="226"/>
      <c r="D12" s="144" t="s">
        <v>902</v>
      </c>
      <c r="E12" s="227"/>
      <c r="F12" s="144" t="s">
        <v>897</v>
      </c>
      <c r="G12" s="103"/>
      <c r="H12" s="224" t="s">
        <v>879</v>
      </c>
      <c r="I12" s="104"/>
      <c r="J12" s="160">
        <v>0</v>
      </c>
      <c r="K12" s="104"/>
      <c r="L12" s="229">
        <v>6577</v>
      </c>
      <c r="M12" s="104"/>
      <c r="N12" s="103" t="s">
        <v>903</v>
      </c>
      <c r="O12" s="107"/>
      <c r="P12" s="107"/>
      <c r="Q12" s="107"/>
      <c r="R12" s="107"/>
      <c r="S12" s="107"/>
      <c r="T12" s="107"/>
      <c r="U12" s="107"/>
      <c r="V12" s="107"/>
      <c r="W12" s="107"/>
      <c r="X12" s="107"/>
      <c r="Y12" s="232" t="s">
        <v>904</v>
      </c>
    </row>
    <row r="13" spans="1:25" s="105" customFormat="1" ht="62.25" customHeight="1">
      <c r="B13" s="144" t="s">
        <v>868</v>
      </c>
      <c r="C13" s="226"/>
      <c r="D13" s="144" t="s">
        <v>905</v>
      </c>
      <c r="E13" s="227"/>
      <c r="F13" s="144" t="s">
        <v>897</v>
      </c>
      <c r="G13" s="103"/>
      <c r="H13" s="224" t="s">
        <v>879</v>
      </c>
      <c r="I13" s="104"/>
      <c r="J13" s="160">
        <v>0</v>
      </c>
      <c r="K13" s="104"/>
      <c r="L13" s="229">
        <v>6539</v>
      </c>
      <c r="M13" s="104"/>
      <c r="N13" s="103" t="s">
        <v>906</v>
      </c>
      <c r="O13" s="107"/>
      <c r="P13" s="107"/>
      <c r="Q13" s="107"/>
      <c r="R13" s="107"/>
      <c r="S13" s="107"/>
      <c r="T13" s="107"/>
      <c r="U13" s="107"/>
      <c r="V13" s="107"/>
      <c r="W13" s="107"/>
      <c r="X13" s="107"/>
      <c r="Y13" s="233" t="s">
        <v>907</v>
      </c>
    </row>
    <row r="14" spans="1:25" s="105" customFormat="1" ht="62.25" customHeight="1">
      <c r="A14" s="105" t="s">
        <v>908</v>
      </c>
      <c r="B14" s="144" t="s">
        <v>868</v>
      </c>
      <c r="C14" s="226"/>
      <c r="D14" s="144" t="s">
        <v>909</v>
      </c>
      <c r="E14" s="227"/>
      <c r="F14" s="144" t="s">
        <v>897</v>
      </c>
      <c r="G14" s="103"/>
      <c r="H14" s="224" t="s">
        <v>879</v>
      </c>
      <c r="I14" s="104"/>
      <c r="J14" s="160">
        <v>0</v>
      </c>
      <c r="K14" s="104"/>
      <c r="L14" s="229">
        <v>6539</v>
      </c>
      <c r="M14" s="104"/>
      <c r="N14" s="234" t="s">
        <v>910</v>
      </c>
      <c r="O14" s="107"/>
      <c r="P14" s="107"/>
      <c r="Q14" s="107"/>
      <c r="R14" s="107"/>
      <c r="S14" s="107"/>
      <c r="T14" s="107"/>
      <c r="U14" s="107"/>
      <c r="V14" s="107"/>
      <c r="W14" s="107"/>
      <c r="X14" s="107"/>
      <c r="Y14" s="233" t="s">
        <v>907</v>
      </c>
    </row>
    <row r="15" spans="1:25" s="105" customFormat="1" ht="62.25" customHeight="1">
      <c r="B15" s="144" t="s">
        <v>868</v>
      </c>
      <c r="C15" s="226"/>
      <c r="D15" s="144" t="s">
        <v>911</v>
      </c>
      <c r="E15" s="227"/>
      <c r="F15" s="144" t="s">
        <v>912</v>
      </c>
      <c r="G15" s="103"/>
      <c r="H15" s="224" t="s">
        <v>913</v>
      </c>
      <c r="I15" s="104"/>
      <c r="J15" s="160">
        <v>0</v>
      </c>
      <c r="K15" s="104"/>
      <c r="L15" s="229">
        <v>35705</v>
      </c>
      <c r="M15" s="104"/>
      <c r="N15" s="103">
        <v>2026</v>
      </c>
      <c r="O15" s="107"/>
      <c r="P15" s="107"/>
      <c r="Q15" s="107"/>
      <c r="R15" s="107"/>
      <c r="S15" s="107"/>
      <c r="T15" s="107"/>
      <c r="U15" s="107"/>
      <c r="V15" s="107"/>
      <c r="W15" s="107"/>
      <c r="X15" s="107"/>
      <c r="Y15" s="233" t="s">
        <v>914</v>
      </c>
    </row>
    <row r="16" spans="1:25" s="105" customFormat="1" ht="62.25" customHeight="1">
      <c r="B16" s="103" t="s">
        <v>868</v>
      </c>
      <c r="C16" s="107"/>
      <c r="D16" s="103" t="s">
        <v>915</v>
      </c>
      <c r="E16" s="103"/>
      <c r="F16" s="103" t="s">
        <v>916</v>
      </c>
      <c r="G16" s="103"/>
      <c r="H16" s="104" t="s">
        <v>917</v>
      </c>
      <c r="I16" s="104"/>
      <c r="J16" s="235">
        <v>0</v>
      </c>
      <c r="K16" s="104"/>
      <c r="L16" s="236">
        <v>4500000</v>
      </c>
      <c r="M16" s="104"/>
      <c r="N16" s="234" t="s">
        <v>918</v>
      </c>
      <c r="O16" s="107" t="s">
        <v>919</v>
      </c>
      <c r="P16" s="107"/>
      <c r="Q16" s="107" t="s">
        <v>872</v>
      </c>
      <c r="R16" s="107"/>
      <c r="S16" s="107" t="s">
        <v>920</v>
      </c>
      <c r="T16" s="107"/>
      <c r="U16" s="107" t="s">
        <v>921</v>
      </c>
      <c r="V16" s="107"/>
      <c r="W16" s="107" t="s">
        <v>922</v>
      </c>
      <c r="X16" s="107"/>
      <c r="Y16" s="107"/>
    </row>
    <row r="17" spans="2:25" s="105" customFormat="1" ht="62.25" customHeight="1">
      <c r="B17" s="103" t="s">
        <v>868</v>
      </c>
      <c r="C17" s="107"/>
      <c r="D17" s="103" t="s">
        <v>915</v>
      </c>
      <c r="E17" s="103"/>
      <c r="F17" s="103" t="s">
        <v>923</v>
      </c>
      <c r="G17" s="103"/>
      <c r="H17" s="104" t="s">
        <v>924</v>
      </c>
      <c r="I17" s="104"/>
      <c r="J17" s="237">
        <v>0</v>
      </c>
      <c r="K17" s="104"/>
      <c r="L17" s="236">
        <v>725</v>
      </c>
      <c r="M17" s="104"/>
      <c r="N17" s="234" t="s">
        <v>925</v>
      </c>
      <c r="O17" s="107" t="s">
        <v>919</v>
      </c>
      <c r="P17" s="107"/>
      <c r="Q17" s="107" t="s">
        <v>872</v>
      </c>
      <c r="R17" s="107"/>
      <c r="S17" s="107" t="s">
        <v>920</v>
      </c>
      <c r="T17" s="107"/>
      <c r="U17" s="107" t="s">
        <v>921</v>
      </c>
      <c r="V17" s="107"/>
      <c r="W17" s="107" t="s">
        <v>922</v>
      </c>
      <c r="X17" s="107"/>
      <c r="Y17" s="107"/>
    </row>
    <row r="18" spans="2:25" s="105" customFormat="1" ht="62.25" customHeight="1">
      <c r="B18" s="103" t="s">
        <v>926</v>
      </c>
      <c r="C18" s="107"/>
      <c r="D18" s="103" t="s">
        <v>927</v>
      </c>
      <c r="E18" s="103"/>
      <c r="F18" s="103"/>
      <c r="G18" s="103"/>
      <c r="H18" s="107"/>
      <c r="I18" s="107"/>
      <c r="J18" s="107"/>
      <c r="K18" s="107"/>
      <c r="L18" s="238"/>
      <c r="M18" s="107"/>
      <c r="N18" s="234" t="s">
        <v>537</v>
      </c>
      <c r="O18" s="107" t="s">
        <v>928</v>
      </c>
      <c r="P18" s="107"/>
      <c r="Q18" s="107" t="s">
        <v>872</v>
      </c>
      <c r="R18" s="107"/>
      <c r="S18" s="107" t="s">
        <v>929</v>
      </c>
      <c r="T18" s="107"/>
      <c r="U18" s="107" t="s">
        <v>930</v>
      </c>
      <c r="V18" s="107"/>
      <c r="W18" s="107" t="s">
        <v>922</v>
      </c>
      <c r="X18" s="107"/>
      <c r="Y18" s="107"/>
    </row>
    <row r="19" spans="2:25" s="105" customFormat="1" ht="62.25" customHeight="1">
      <c r="B19" s="103" t="s">
        <v>926</v>
      </c>
      <c r="C19" s="107"/>
      <c r="D19" s="103" t="s">
        <v>931</v>
      </c>
      <c r="E19" s="103"/>
      <c r="F19" s="104" t="s">
        <v>932</v>
      </c>
      <c r="G19" s="103"/>
      <c r="H19" s="239" t="s">
        <v>144</v>
      </c>
      <c r="I19" s="104"/>
      <c r="J19" s="239">
        <v>0</v>
      </c>
      <c r="K19" s="104"/>
      <c r="L19" s="240">
        <v>25375</v>
      </c>
      <c r="M19" s="104"/>
      <c r="N19" s="234" t="s">
        <v>933</v>
      </c>
      <c r="O19" s="107" t="s">
        <v>934</v>
      </c>
      <c r="P19" s="107"/>
      <c r="Q19" s="107" t="s">
        <v>872</v>
      </c>
      <c r="R19" s="107"/>
      <c r="S19" s="107" t="s">
        <v>935</v>
      </c>
      <c r="T19" s="107"/>
      <c r="U19" s="107" t="s">
        <v>936</v>
      </c>
      <c r="V19" s="107"/>
      <c r="W19" s="107" t="s">
        <v>922</v>
      </c>
      <c r="X19" s="107"/>
      <c r="Y19" s="107"/>
    </row>
    <row r="20" spans="2:25" s="105" customFormat="1" ht="62.25" customHeight="1">
      <c r="B20" s="103" t="s">
        <v>926</v>
      </c>
      <c r="C20" s="107"/>
      <c r="D20" s="103" t="s">
        <v>937</v>
      </c>
      <c r="E20" s="103"/>
      <c r="F20" s="104" t="s">
        <v>938</v>
      </c>
      <c r="G20" s="103"/>
      <c r="H20" s="239" t="s">
        <v>144</v>
      </c>
      <c r="I20" s="104"/>
      <c r="J20" s="239"/>
      <c r="K20" s="104"/>
      <c r="L20" s="241">
        <v>72500</v>
      </c>
      <c r="M20" s="104"/>
      <c r="N20" s="234" t="s">
        <v>939</v>
      </c>
      <c r="O20" s="107" t="s">
        <v>934</v>
      </c>
      <c r="P20" s="107"/>
      <c r="Q20" s="107" t="s">
        <v>872</v>
      </c>
      <c r="R20" s="107"/>
      <c r="S20" s="107" t="s">
        <v>935</v>
      </c>
      <c r="T20" s="107"/>
      <c r="U20" s="107"/>
      <c r="V20" s="107"/>
      <c r="W20" s="107" t="s">
        <v>922</v>
      </c>
      <c r="X20" s="107"/>
      <c r="Y20" s="107"/>
    </row>
    <row r="21" spans="2:25" s="105" customFormat="1" ht="62.25" customHeight="1">
      <c r="B21" s="103" t="s">
        <v>926</v>
      </c>
      <c r="C21" s="107"/>
      <c r="D21" s="103"/>
      <c r="E21" s="103"/>
      <c r="F21" s="144" t="s">
        <v>940</v>
      </c>
      <c r="G21" s="103"/>
      <c r="H21" s="144" t="s">
        <v>941</v>
      </c>
      <c r="I21" s="104"/>
      <c r="J21" s="237">
        <v>0</v>
      </c>
      <c r="K21" s="104"/>
      <c r="L21" s="242">
        <v>10000</v>
      </c>
      <c r="M21" s="104"/>
      <c r="N21" s="234" t="s">
        <v>192</v>
      </c>
      <c r="O21" s="107"/>
      <c r="P21" s="107"/>
      <c r="Q21" s="107"/>
      <c r="R21" s="107"/>
      <c r="S21" s="107"/>
      <c r="T21" s="107"/>
      <c r="U21" s="107"/>
      <c r="V21" s="107"/>
      <c r="W21" s="107"/>
      <c r="X21" s="107"/>
      <c r="Y21" s="243" t="s">
        <v>942</v>
      </c>
    </row>
    <row r="22" spans="2:25" s="105" customFormat="1" ht="62.25" customHeight="1">
      <c r="B22" s="103" t="s">
        <v>926</v>
      </c>
      <c r="C22" s="107"/>
      <c r="D22" s="103"/>
      <c r="E22" s="103"/>
      <c r="F22" s="144" t="s">
        <v>940</v>
      </c>
      <c r="G22" s="103"/>
      <c r="H22" s="144" t="s">
        <v>941</v>
      </c>
      <c r="I22" s="104"/>
      <c r="J22" s="244"/>
      <c r="K22" s="104"/>
      <c r="L22" s="242">
        <v>18500</v>
      </c>
      <c r="M22" s="104"/>
      <c r="N22" s="234" t="s">
        <v>900</v>
      </c>
      <c r="O22" s="107"/>
      <c r="P22" s="107"/>
      <c r="Q22" s="107"/>
      <c r="R22" s="107"/>
      <c r="S22" s="107"/>
      <c r="T22" s="107"/>
      <c r="U22" s="107"/>
      <c r="V22" s="107"/>
      <c r="W22" s="107"/>
      <c r="X22" s="107"/>
      <c r="Y22" s="243" t="s">
        <v>943</v>
      </c>
    </row>
    <row r="23" spans="2:25" s="105" customFormat="1" ht="62.25" customHeight="1">
      <c r="B23" s="144" t="s">
        <v>926</v>
      </c>
      <c r="C23" s="209"/>
      <c r="D23" s="144"/>
      <c r="E23" s="144"/>
      <c r="F23" s="144" t="s">
        <v>940</v>
      </c>
      <c r="G23" s="144"/>
      <c r="H23" s="144" t="s">
        <v>941</v>
      </c>
      <c r="I23" s="144"/>
      <c r="J23" s="245"/>
      <c r="K23" s="144"/>
      <c r="L23" s="242">
        <v>19600</v>
      </c>
      <c r="M23" s="104"/>
      <c r="N23" s="234" t="s">
        <v>903</v>
      </c>
      <c r="O23" s="107"/>
      <c r="P23" s="107"/>
      <c r="Q23" s="107"/>
      <c r="R23" s="107"/>
      <c r="S23" s="107"/>
      <c r="T23" s="107"/>
      <c r="U23" s="107"/>
      <c r="V23" s="107"/>
      <c r="W23" s="107"/>
      <c r="X23" s="107"/>
      <c r="Y23" s="243" t="s">
        <v>944</v>
      </c>
    </row>
    <row r="24" spans="2:25" s="105" customFormat="1" ht="62.25" customHeight="1">
      <c r="B24" s="144" t="s">
        <v>926</v>
      </c>
      <c r="C24" s="209"/>
      <c r="D24" s="144"/>
      <c r="E24" s="144"/>
      <c r="F24" s="144" t="s">
        <v>940</v>
      </c>
      <c r="G24" s="144"/>
      <c r="H24" s="144" t="s">
        <v>941</v>
      </c>
      <c r="I24" s="144"/>
      <c r="J24" s="245"/>
      <c r="K24" s="144"/>
      <c r="L24" s="242">
        <v>16300</v>
      </c>
      <c r="M24" s="104"/>
      <c r="N24" s="234" t="s">
        <v>906</v>
      </c>
      <c r="O24" s="107"/>
      <c r="P24" s="107"/>
      <c r="Q24" s="107"/>
      <c r="R24" s="107"/>
      <c r="S24" s="107"/>
      <c r="T24" s="107"/>
      <c r="U24" s="107"/>
      <c r="V24" s="107"/>
      <c r="W24" s="107"/>
      <c r="X24" s="107"/>
      <c r="Y24" s="243" t="s">
        <v>945</v>
      </c>
    </row>
    <row r="25" spans="2:25" s="105" customFormat="1" ht="62.25" customHeight="1">
      <c r="B25" s="144" t="s">
        <v>926</v>
      </c>
      <c r="C25" s="209"/>
      <c r="D25" s="144"/>
      <c r="E25" s="144"/>
      <c r="F25" s="144" t="s">
        <v>940</v>
      </c>
      <c r="G25" s="144"/>
      <c r="H25" s="144" t="s">
        <v>941</v>
      </c>
      <c r="I25" s="246"/>
      <c r="J25" s="217"/>
      <c r="K25" s="246"/>
      <c r="L25" s="247">
        <v>8100</v>
      </c>
      <c r="M25" s="248"/>
      <c r="N25" s="234" t="s">
        <v>910</v>
      </c>
      <c r="O25" s="249"/>
      <c r="P25" s="249"/>
      <c r="Q25" s="107"/>
      <c r="R25" s="249"/>
      <c r="S25" s="107"/>
      <c r="T25" s="249"/>
      <c r="U25" s="249"/>
      <c r="V25" s="249"/>
      <c r="W25" s="107"/>
      <c r="X25" s="107"/>
      <c r="Y25" s="250" t="s">
        <v>946</v>
      </c>
    </row>
    <row r="26" spans="2:25" s="105" customFormat="1" ht="62.25" customHeight="1">
      <c r="B26" s="144" t="s">
        <v>926</v>
      </c>
      <c r="C26" s="209"/>
      <c r="D26" s="144" t="s">
        <v>947</v>
      </c>
      <c r="E26" s="144"/>
      <c r="F26" s="144" t="s">
        <v>912</v>
      </c>
      <c r="G26" s="144"/>
      <c r="H26" s="224" t="s">
        <v>948</v>
      </c>
      <c r="I26" s="246"/>
      <c r="J26" s="251"/>
      <c r="K26" s="246"/>
      <c r="L26" s="252">
        <v>72500</v>
      </c>
      <c r="M26" s="248"/>
      <c r="N26" s="253">
        <v>2026</v>
      </c>
      <c r="O26" s="249"/>
      <c r="P26" s="249"/>
      <c r="Q26" s="107"/>
      <c r="R26" s="249"/>
      <c r="S26" s="107"/>
      <c r="T26" s="249"/>
      <c r="U26" s="249"/>
      <c r="V26" s="249"/>
      <c r="W26" s="107"/>
      <c r="X26" s="107"/>
      <c r="Y26" s="243" t="s">
        <v>949</v>
      </c>
    </row>
    <row r="27" spans="2:25" s="105" customFormat="1" ht="104.25" customHeight="1">
      <c r="B27" s="144" t="s">
        <v>950</v>
      </c>
      <c r="C27" s="209"/>
      <c r="D27" s="144" t="s">
        <v>951</v>
      </c>
      <c r="E27" s="144"/>
      <c r="F27" s="254" t="s">
        <v>952</v>
      </c>
      <c r="G27" s="246"/>
      <c r="H27" s="255" t="s">
        <v>953</v>
      </c>
      <c r="I27" s="246"/>
      <c r="J27" s="246">
        <v>0</v>
      </c>
      <c r="K27" s="246"/>
      <c r="L27" s="252">
        <v>2900000</v>
      </c>
      <c r="M27" s="248"/>
      <c r="N27" s="253" t="s">
        <v>925</v>
      </c>
      <c r="O27" s="249" t="s">
        <v>954</v>
      </c>
      <c r="P27" s="249"/>
      <c r="Q27" s="107" t="s">
        <v>872</v>
      </c>
      <c r="R27" s="249"/>
      <c r="S27" s="107" t="s">
        <v>935</v>
      </c>
      <c r="T27" s="249"/>
      <c r="U27" s="249" t="s">
        <v>936</v>
      </c>
      <c r="V27" s="249"/>
      <c r="W27" s="107" t="s">
        <v>922</v>
      </c>
      <c r="X27" s="107"/>
      <c r="Y27" s="107"/>
    </row>
    <row r="28" spans="2:25" s="105" customFormat="1" ht="64.5" customHeight="1">
      <c r="B28" s="144" t="s">
        <v>950</v>
      </c>
      <c r="C28" s="217"/>
      <c r="D28" s="144" t="s">
        <v>951</v>
      </c>
      <c r="E28" s="214"/>
      <c r="F28" s="224" t="s">
        <v>923</v>
      </c>
      <c r="G28" s="144"/>
      <c r="H28" s="160" t="s">
        <v>924</v>
      </c>
      <c r="I28" s="144"/>
      <c r="J28" s="144">
        <v>0</v>
      </c>
      <c r="K28" s="144"/>
      <c r="L28" s="225">
        <v>625</v>
      </c>
      <c r="M28" s="104"/>
      <c r="N28" s="103" t="s">
        <v>925</v>
      </c>
      <c r="O28" s="107"/>
      <c r="P28" s="107"/>
      <c r="Q28" s="107" t="s">
        <v>872</v>
      </c>
      <c r="R28" s="107"/>
      <c r="S28" s="107" t="s">
        <v>935</v>
      </c>
      <c r="T28" s="107"/>
      <c r="U28" s="249" t="s">
        <v>936</v>
      </c>
      <c r="V28" s="107"/>
      <c r="W28" s="107" t="s">
        <v>922</v>
      </c>
      <c r="X28" s="107"/>
      <c r="Y28" s="107"/>
    </row>
    <row r="29" spans="2:25" s="105" customFormat="1" ht="62.25" customHeight="1">
      <c r="B29" s="144" t="s">
        <v>955</v>
      </c>
      <c r="C29" s="209"/>
      <c r="D29" s="144" t="s">
        <v>956</v>
      </c>
      <c r="E29" s="144"/>
      <c r="F29" s="144" t="s">
        <v>957</v>
      </c>
      <c r="G29" s="144"/>
      <c r="H29" s="144" t="s">
        <v>958</v>
      </c>
      <c r="I29" s="144"/>
      <c r="J29" s="209"/>
      <c r="K29" s="144"/>
      <c r="L29" s="256" t="s">
        <v>959</v>
      </c>
      <c r="M29" s="104"/>
      <c r="N29" s="103" t="s">
        <v>398</v>
      </c>
      <c r="O29" s="107" t="s">
        <v>960</v>
      </c>
      <c r="P29" s="107"/>
      <c r="Q29" s="107" t="s">
        <v>872</v>
      </c>
      <c r="R29" s="107"/>
      <c r="S29" s="107" t="s">
        <v>960</v>
      </c>
      <c r="T29" s="107"/>
      <c r="U29" s="107" t="s">
        <v>961</v>
      </c>
      <c r="V29" s="107"/>
      <c r="W29" s="107" t="s">
        <v>922</v>
      </c>
      <c r="X29" s="107"/>
      <c r="Y29" s="107"/>
    </row>
    <row r="30" spans="2:25" s="105" customFormat="1" ht="62.25" customHeight="1">
      <c r="B30"/>
      <c r="C30"/>
      <c r="D30"/>
      <c r="E30"/>
      <c r="F30"/>
      <c r="G30"/>
      <c r="H30"/>
      <c r="I30"/>
      <c r="J30"/>
      <c r="K30"/>
      <c r="L30"/>
      <c r="M30"/>
      <c r="N30"/>
      <c r="O30"/>
      <c r="P30"/>
      <c r="Q30"/>
      <c r="R30"/>
      <c r="S30"/>
      <c r="T30"/>
      <c r="U30"/>
      <c r="V30"/>
      <c r="W30"/>
      <c r="X30" s="107"/>
    </row>
  </sheetData>
  <mergeCells count="3">
    <mergeCell ref="B2:X2"/>
    <mergeCell ref="H3:M3"/>
    <mergeCell ref="B5:M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F504-8579-4E4D-AEA4-C97834AD47E6}">
  <sheetPr>
    <pageSetUpPr fitToPage="1"/>
  </sheetPr>
  <dimension ref="B1:X25"/>
  <sheetViews>
    <sheetView showGridLines="0" zoomScale="60" zoomScaleNormal="60" workbookViewId="0">
      <pane xSplit="4" topLeftCell="I1" activePane="topRight" state="frozen"/>
      <selection pane="topRight" activeCell="C7" sqref="C7"/>
    </sheetView>
  </sheetViews>
  <sheetFormatPr defaultRowHeight="15"/>
  <cols>
    <col min="1" max="1" width="2.42578125" customWidth="1"/>
    <col min="2" max="2" width="27.5703125" customWidth="1"/>
    <col min="3" max="3" width="39.5703125" bestFit="1" customWidth="1"/>
    <col min="4" max="4" width="49.28515625" bestFit="1" customWidth="1"/>
    <col min="5" max="5" width="29.85546875" bestFit="1" customWidth="1"/>
    <col min="6" max="6" width="49.28515625" customWidth="1"/>
    <col min="7" max="7" width="76.140625" bestFit="1" customWidth="1"/>
    <col min="8" max="8" width="9.28515625" customWidth="1"/>
    <col min="9" max="9" width="9.85546875" customWidth="1"/>
    <col min="10" max="10" width="11.85546875" customWidth="1"/>
    <col min="11" max="11" width="8.5703125" customWidth="1"/>
    <col min="12" max="12" width="17.85546875" bestFit="1" customWidth="1"/>
    <col min="13" max="13" width="20.140625" customWidth="1"/>
    <col min="14" max="14" width="24.140625" customWidth="1"/>
    <col min="15" max="15" width="16.7109375" bestFit="1" customWidth="1"/>
    <col min="16" max="16" width="20.140625" customWidth="1"/>
    <col min="17" max="17" width="9.7109375" customWidth="1"/>
    <col min="18" max="18" width="31" bestFit="1" customWidth="1"/>
    <col min="19" max="19" width="37.5703125" customWidth="1"/>
    <col min="20" max="20" width="76.140625" customWidth="1"/>
    <col min="21" max="21" width="31.7109375" customWidth="1"/>
    <col min="22" max="22" width="23.28515625" customWidth="1"/>
    <col min="23" max="23" width="28.140625" customWidth="1"/>
    <col min="24" max="24" width="17.28515625" bestFit="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95.25" thickBot="1">
      <c r="B3" s="86" t="s">
        <v>1</v>
      </c>
      <c r="C3" s="87" t="s">
        <v>2</v>
      </c>
      <c r="D3" s="86" t="s">
        <v>3</v>
      </c>
      <c r="E3" s="87" t="s">
        <v>4</v>
      </c>
      <c r="F3" s="88" t="s">
        <v>5</v>
      </c>
      <c r="G3" s="89" t="s">
        <v>6</v>
      </c>
      <c r="H3" s="617" t="s">
        <v>7</v>
      </c>
      <c r="I3" s="618"/>
      <c r="J3" s="618"/>
      <c r="K3" s="618"/>
      <c r="L3" s="618"/>
      <c r="M3" s="619"/>
      <c r="N3" s="90" t="s">
        <v>8</v>
      </c>
      <c r="O3" s="90" t="s">
        <v>9</v>
      </c>
      <c r="P3" s="91" t="s">
        <v>10</v>
      </c>
      <c r="Q3" s="90" t="s">
        <v>11</v>
      </c>
      <c r="R3" s="91" t="s">
        <v>12</v>
      </c>
      <c r="S3" s="90" t="s">
        <v>13</v>
      </c>
      <c r="T3" s="91" t="s">
        <v>14</v>
      </c>
      <c r="U3" s="90" t="s">
        <v>15</v>
      </c>
      <c r="V3" s="91" t="s">
        <v>16</v>
      </c>
      <c r="W3" s="92" t="s">
        <v>17</v>
      </c>
      <c r="X3" s="89" t="s">
        <v>18</v>
      </c>
    </row>
    <row r="4" spans="2:24" ht="32.25" thickBot="1">
      <c r="B4" s="93"/>
      <c r="C4" s="94"/>
      <c r="D4" s="95"/>
      <c r="E4" s="94"/>
      <c r="F4" s="94"/>
      <c r="G4" s="94"/>
      <c r="H4" s="96" t="s">
        <v>19</v>
      </c>
      <c r="I4" s="97" t="s">
        <v>20</v>
      </c>
      <c r="J4" s="96" t="s">
        <v>21</v>
      </c>
      <c r="K4" s="97" t="s">
        <v>22</v>
      </c>
      <c r="L4" s="96" t="s">
        <v>23</v>
      </c>
      <c r="M4" s="97" t="s">
        <v>24</v>
      </c>
      <c r="N4" s="96"/>
      <c r="O4" s="94"/>
      <c r="P4" s="94"/>
      <c r="Q4" s="94"/>
      <c r="R4" s="94"/>
      <c r="S4" s="94"/>
      <c r="T4" s="99"/>
      <c r="U4" s="94"/>
      <c r="V4" s="94"/>
      <c r="W4" s="94"/>
      <c r="X4" s="94"/>
    </row>
    <row r="5" spans="2:24" ht="15.75">
      <c r="B5" s="629" t="s">
        <v>962</v>
      </c>
      <c r="C5" s="630"/>
      <c r="D5" s="630"/>
      <c r="E5" s="630"/>
      <c r="F5" s="630"/>
      <c r="G5" s="630"/>
      <c r="H5" s="630"/>
      <c r="I5" s="630"/>
      <c r="J5" s="630"/>
      <c r="K5" s="630"/>
      <c r="L5" s="630"/>
      <c r="M5" s="631"/>
    </row>
    <row r="6" spans="2:24" ht="141.75" customHeight="1">
      <c r="B6" s="104" t="s">
        <v>963</v>
      </c>
      <c r="C6" s="104" t="s">
        <v>964</v>
      </c>
      <c r="D6" s="104" t="s">
        <v>965</v>
      </c>
      <c r="E6" s="104" t="s">
        <v>966</v>
      </c>
      <c r="F6" s="104" t="s">
        <v>967</v>
      </c>
      <c r="G6" s="104" t="s">
        <v>968</v>
      </c>
      <c r="H6" s="104" t="s">
        <v>778</v>
      </c>
      <c r="I6" s="104" t="s">
        <v>969</v>
      </c>
      <c r="J6" s="104">
        <v>0</v>
      </c>
      <c r="K6" s="104">
        <v>0</v>
      </c>
      <c r="L6" s="104">
        <v>40</v>
      </c>
      <c r="M6" s="104">
        <v>40</v>
      </c>
      <c r="N6" s="104" t="s">
        <v>312</v>
      </c>
      <c r="O6" s="104" t="s">
        <v>970</v>
      </c>
      <c r="P6" s="104" t="s">
        <v>971</v>
      </c>
      <c r="Q6" s="104" t="s">
        <v>972</v>
      </c>
      <c r="R6" s="104" t="s">
        <v>973</v>
      </c>
      <c r="S6" s="104" t="s">
        <v>974</v>
      </c>
      <c r="T6" s="104" t="s">
        <v>975</v>
      </c>
      <c r="U6" s="104" t="s">
        <v>976</v>
      </c>
      <c r="V6" s="104"/>
      <c r="W6" s="104" t="s">
        <v>977</v>
      </c>
      <c r="X6" s="104"/>
    </row>
    <row r="7" spans="2:24" ht="94.5">
      <c r="B7" s="104" t="s">
        <v>963</v>
      </c>
      <c r="C7" s="104" t="s">
        <v>964</v>
      </c>
      <c r="D7" s="104" t="s">
        <v>978</v>
      </c>
      <c r="E7" s="104" t="s">
        <v>979</v>
      </c>
      <c r="F7" s="104" t="s">
        <v>980</v>
      </c>
      <c r="G7" s="104" t="s">
        <v>981</v>
      </c>
      <c r="H7" s="104" t="s">
        <v>144</v>
      </c>
      <c r="I7" s="104" t="s">
        <v>318</v>
      </c>
      <c r="J7" s="104">
        <v>0</v>
      </c>
      <c r="K7" s="104">
        <v>0</v>
      </c>
      <c r="L7" s="104">
        <v>70000</v>
      </c>
      <c r="M7" s="104">
        <v>70000</v>
      </c>
      <c r="N7" s="104" t="s">
        <v>312</v>
      </c>
      <c r="O7" s="104" t="s">
        <v>970</v>
      </c>
      <c r="P7" s="104" t="s">
        <v>971</v>
      </c>
      <c r="Q7" s="104" t="s">
        <v>972</v>
      </c>
      <c r="R7" s="104" t="s">
        <v>973</v>
      </c>
      <c r="S7" s="104" t="s">
        <v>982</v>
      </c>
      <c r="T7" s="104" t="s">
        <v>983</v>
      </c>
      <c r="U7" s="104" t="s">
        <v>976</v>
      </c>
      <c r="V7" s="104"/>
      <c r="W7" s="104" t="s">
        <v>984</v>
      </c>
      <c r="X7" s="104" t="s">
        <v>985</v>
      </c>
    </row>
    <row r="8" spans="2:24" s="146" customFormat="1" ht="78.75">
      <c r="B8" s="144" t="s">
        <v>986</v>
      </c>
      <c r="C8" s="144" t="s">
        <v>987</v>
      </c>
      <c r="D8" s="144" t="s">
        <v>965</v>
      </c>
      <c r="E8" s="144" t="s">
        <v>988</v>
      </c>
      <c r="F8" s="144" t="s">
        <v>967</v>
      </c>
      <c r="G8" s="144" t="s">
        <v>968</v>
      </c>
      <c r="H8" s="144" t="s">
        <v>778</v>
      </c>
      <c r="I8" s="144" t="s">
        <v>969</v>
      </c>
      <c r="J8" s="144">
        <v>0</v>
      </c>
      <c r="K8" s="144">
        <v>0</v>
      </c>
      <c r="L8" s="144">
        <v>800</v>
      </c>
      <c r="M8" s="144">
        <v>800</v>
      </c>
      <c r="N8" s="144" t="s">
        <v>989</v>
      </c>
      <c r="O8" s="144" t="s">
        <v>970</v>
      </c>
      <c r="P8" s="144" t="s">
        <v>971</v>
      </c>
      <c r="Q8" s="144" t="s">
        <v>990</v>
      </c>
      <c r="R8" s="144" t="s">
        <v>991</v>
      </c>
      <c r="S8" s="144"/>
      <c r="T8" s="144"/>
      <c r="U8" s="144" t="s">
        <v>763</v>
      </c>
      <c r="V8" s="144"/>
      <c r="W8" s="144"/>
      <c r="X8" s="144"/>
    </row>
    <row r="9" spans="2:24" ht="78.75">
      <c r="B9" s="104" t="s">
        <v>986</v>
      </c>
      <c r="C9" s="104" t="s">
        <v>987</v>
      </c>
      <c r="D9" s="104" t="s">
        <v>992</v>
      </c>
      <c r="E9" s="104" t="s">
        <v>993</v>
      </c>
      <c r="F9" s="104" t="s">
        <v>994</v>
      </c>
      <c r="G9" s="104" t="s">
        <v>995</v>
      </c>
      <c r="H9" s="104" t="s">
        <v>778</v>
      </c>
      <c r="I9" s="104" t="s">
        <v>969</v>
      </c>
      <c r="J9" s="104">
        <v>0</v>
      </c>
      <c r="K9" s="104">
        <v>0</v>
      </c>
      <c r="L9" s="104">
        <v>1450</v>
      </c>
      <c r="M9" s="104">
        <v>1450</v>
      </c>
      <c r="N9" s="144" t="s">
        <v>996</v>
      </c>
      <c r="O9" s="104" t="s">
        <v>970</v>
      </c>
      <c r="P9" s="104" t="s">
        <v>971</v>
      </c>
      <c r="Q9" s="104" t="s">
        <v>997</v>
      </c>
      <c r="R9" s="104" t="s">
        <v>991</v>
      </c>
      <c r="S9" s="144" t="s">
        <v>994</v>
      </c>
      <c r="T9" s="104"/>
      <c r="U9" s="104" t="s">
        <v>763</v>
      </c>
      <c r="V9" s="104"/>
      <c r="W9" s="104" t="s">
        <v>984</v>
      </c>
      <c r="X9" s="104" t="s">
        <v>985</v>
      </c>
    </row>
    <row r="10" spans="2:24" ht="78.75">
      <c r="B10" s="104" t="s">
        <v>986</v>
      </c>
      <c r="C10" s="104" t="s">
        <v>987</v>
      </c>
      <c r="D10" s="104" t="s">
        <v>998</v>
      </c>
      <c r="E10" s="104" t="s">
        <v>999</v>
      </c>
      <c r="F10" s="104" t="s">
        <v>1000</v>
      </c>
      <c r="G10" s="104" t="s">
        <v>1001</v>
      </c>
      <c r="H10" s="104" t="s">
        <v>1002</v>
      </c>
      <c r="I10" s="104" t="s">
        <v>1002</v>
      </c>
      <c r="J10" s="104">
        <v>0</v>
      </c>
      <c r="K10" s="104">
        <v>0</v>
      </c>
      <c r="L10" s="104">
        <v>2400000</v>
      </c>
      <c r="M10" s="104">
        <v>2400000</v>
      </c>
      <c r="N10" s="144" t="s">
        <v>996</v>
      </c>
      <c r="O10" s="104" t="s">
        <v>970</v>
      </c>
      <c r="P10" s="104" t="s">
        <v>971</v>
      </c>
      <c r="Q10" s="104" t="s">
        <v>997</v>
      </c>
      <c r="R10" s="104" t="s">
        <v>991</v>
      </c>
      <c r="S10" s="144" t="s">
        <v>1000</v>
      </c>
      <c r="T10" s="104"/>
      <c r="U10" s="104" t="s">
        <v>763</v>
      </c>
      <c r="V10" s="104"/>
      <c r="W10" s="104" t="s">
        <v>984</v>
      </c>
      <c r="X10" s="104" t="s">
        <v>985</v>
      </c>
    </row>
    <row r="11" spans="2:24" ht="78.75">
      <c r="B11" s="104" t="s">
        <v>986</v>
      </c>
      <c r="C11" s="104" t="s">
        <v>987</v>
      </c>
      <c r="D11" s="104" t="s">
        <v>1003</v>
      </c>
      <c r="E11" s="104" t="s">
        <v>1004</v>
      </c>
      <c r="F11" s="104" t="s">
        <v>1005</v>
      </c>
      <c r="G11" s="104" t="s">
        <v>1006</v>
      </c>
      <c r="H11" s="104" t="s">
        <v>778</v>
      </c>
      <c r="I11" s="104" t="s">
        <v>969</v>
      </c>
      <c r="J11" s="104">
        <v>0</v>
      </c>
      <c r="K11" s="104">
        <v>0</v>
      </c>
      <c r="L11" s="104">
        <v>100</v>
      </c>
      <c r="M11" s="104">
        <v>100</v>
      </c>
      <c r="N11" s="144" t="s">
        <v>996</v>
      </c>
      <c r="O11" s="104" t="s">
        <v>970</v>
      </c>
      <c r="P11" s="104" t="s">
        <v>971</v>
      </c>
      <c r="Q11" s="104" t="s">
        <v>997</v>
      </c>
      <c r="R11" s="104" t="s">
        <v>991</v>
      </c>
      <c r="S11" s="144" t="s">
        <v>1005</v>
      </c>
      <c r="T11" s="104"/>
      <c r="U11" s="104" t="s">
        <v>763</v>
      </c>
      <c r="V11" s="104"/>
      <c r="W11" s="104" t="s">
        <v>984</v>
      </c>
      <c r="X11" s="104" t="s">
        <v>985</v>
      </c>
    </row>
    <row r="12" spans="2:24" ht="36" customHeight="1">
      <c r="B12" s="144" t="s">
        <v>1007</v>
      </c>
      <c r="C12" s="144" t="s">
        <v>1008</v>
      </c>
      <c r="D12" s="144" t="s">
        <v>965</v>
      </c>
      <c r="E12" s="144" t="s">
        <v>988</v>
      </c>
      <c r="F12" s="144" t="s">
        <v>967</v>
      </c>
      <c r="G12" s="144" t="s">
        <v>968</v>
      </c>
      <c r="H12" s="144" t="s">
        <v>778</v>
      </c>
      <c r="I12" s="144" t="s">
        <v>969</v>
      </c>
      <c r="J12" s="144">
        <v>0</v>
      </c>
      <c r="K12" s="144">
        <v>0</v>
      </c>
      <c r="L12" s="144">
        <v>200</v>
      </c>
      <c r="M12" s="144">
        <v>200</v>
      </c>
      <c r="N12" s="144" t="s">
        <v>989</v>
      </c>
      <c r="O12" s="144" t="s">
        <v>970</v>
      </c>
      <c r="P12" s="144" t="s">
        <v>971</v>
      </c>
      <c r="Q12" s="144" t="s">
        <v>990</v>
      </c>
      <c r="R12" s="144" t="s">
        <v>991</v>
      </c>
      <c r="S12" s="144"/>
      <c r="T12" s="144"/>
      <c r="U12" s="144" t="s">
        <v>763</v>
      </c>
      <c r="V12" s="144"/>
      <c r="W12" s="144" t="s">
        <v>984</v>
      </c>
      <c r="X12" s="144" t="s">
        <v>985</v>
      </c>
    </row>
    <row r="13" spans="2:24" ht="63">
      <c r="B13" s="104" t="s">
        <v>1007</v>
      </c>
      <c r="C13" s="104" t="s">
        <v>1008</v>
      </c>
      <c r="D13" s="104" t="s">
        <v>1009</v>
      </c>
      <c r="E13" s="104" t="s">
        <v>1010</v>
      </c>
      <c r="F13" s="104" t="s">
        <v>1011</v>
      </c>
      <c r="G13" s="104" t="s">
        <v>1012</v>
      </c>
      <c r="H13" s="104" t="s">
        <v>1013</v>
      </c>
      <c r="I13" s="104" t="s">
        <v>1013</v>
      </c>
      <c r="J13" s="104">
        <v>0</v>
      </c>
      <c r="K13" s="104">
        <v>0</v>
      </c>
      <c r="L13" s="104">
        <v>25000</v>
      </c>
      <c r="M13" s="104">
        <v>25000</v>
      </c>
      <c r="N13" s="144" t="s">
        <v>996</v>
      </c>
      <c r="O13" s="104" t="s">
        <v>970</v>
      </c>
      <c r="P13" s="104" t="s">
        <v>971</v>
      </c>
      <c r="Q13" s="104" t="s">
        <v>997</v>
      </c>
      <c r="R13" s="104" t="s">
        <v>991</v>
      </c>
      <c r="S13" s="144" t="s">
        <v>1011</v>
      </c>
      <c r="T13" s="104"/>
      <c r="U13" s="104" t="s">
        <v>763</v>
      </c>
      <c r="V13" s="104"/>
      <c r="W13" s="104" t="s">
        <v>984</v>
      </c>
      <c r="X13" s="104" t="s">
        <v>985</v>
      </c>
    </row>
    <row r="14" spans="2:24" ht="114.75" customHeight="1">
      <c r="B14" s="257" t="s">
        <v>1014</v>
      </c>
      <c r="C14" s="257" t="s">
        <v>1015</v>
      </c>
      <c r="D14" s="257" t="s">
        <v>1016</v>
      </c>
      <c r="E14" s="257"/>
      <c r="F14" s="257"/>
      <c r="G14" s="257"/>
      <c r="H14" s="257" t="s">
        <v>1013</v>
      </c>
      <c r="I14" s="257" t="s">
        <v>1013</v>
      </c>
      <c r="J14" s="257">
        <v>0</v>
      </c>
      <c r="K14" s="257">
        <v>0</v>
      </c>
      <c r="L14" s="257">
        <v>90</v>
      </c>
      <c r="M14" s="257">
        <v>90</v>
      </c>
      <c r="N14" s="257" t="s">
        <v>1017</v>
      </c>
      <c r="O14" s="257" t="s">
        <v>1018</v>
      </c>
      <c r="P14" s="257" t="s">
        <v>1019</v>
      </c>
      <c r="Q14" s="257" t="s">
        <v>1020</v>
      </c>
      <c r="R14" s="257" t="s">
        <v>1020</v>
      </c>
      <c r="S14" s="258" t="s">
        <v>1021</v>
      </c>
      <c r="T14" s="259" t="s">
        <v>1022</v>
      </c>
      <c r="U14" s="257" t="s">
        <v>763</v>
      </c>
      <c r="V14" s="257" t="s">
        <v>1023</v>
      </c>
      <c r="W14" s="257" t="s">
        <v>984</v>
      </c>
      <c r="X14" s="257" t="s">
        <v>985</v>
      </c>
    </row>
    <row r="15" spans="2:24" s="260" customFormat="1" ht="168" customHeight="1">
      <c r="B15" s="257" t="s">
        <v>1014</v>
      </c>
      <c r="C15" s="257" t="s">
        <v>1015</v>
      </c>
      <c r="D15" s="257" t="s">
        <v>1024</v>
      </c>
      <c r="E15" s="257"/>
      <c r="F15" s="257"/>
      <c r="G15" s="257"/>
      <c r="H15" s="257" t="s">
        <v>1013</v>
      </c>
      <c r="I15" s="257" t="s">
        <v>1013</v>
      </c>
      <c r="J15" s="257">
        <v>0</v>
      </c>
      <c r="K15" s="257">
        <v>0</v>
      </c>
      <c r="L15" s="257">
        <v>150</v>
      </c>
      <c r="M15" s="257">
        <v>150</v>
      </c>
      <c r="N15" s="257" t="s">
        <v>1017</v>
      </c>
      <c r="O15" s="257" t="s">
        <v>1018</v>
      </c>
      <c r="P15" s="257" t="s">
        <v>1019</v>
      </c>
      <c r="Q15" s="257" t="s">
        <v>1020</v>
      </c>
      <c r="R15" s="257" t="s">
        <v>1020</v>
      </c>
      <c r="S15" s="259" t="s">
        <v>1025</v>
      </c>
      <c r="T15" s="259" t="s">
        <v>1026</v>
      </c>
      <c r="U15" s="257" t="s">
        <v>763</v>
      </c>
      <c r="V15" s="257" t="s">
        <v>1023</v>
      </c>
      <c r="W15" s="257" t="s">
        <v>984</v>
      </c>
      <c r="X15" s="257" t="s">
        <v>985</v>
      </c>
    </row>
    <row r="16" spans="2:24" ht="81" customHeight="1">
      <c r="B16" s="103" t="s">
        <v>1027</v>
      </c>
      <c r="C16" s="103" t="s">
        <v>1028</v>
      </c>
      <c r="D16" s="104" t="s">
        <v>1029</v>
      </c>
      <c r="E16" s="104" t="s">
        <v>1030</v>
      </c>
      <c r="F16" s="104" t="s">
        <v>126</v>
      </c>
      <c r="G16" s="104" t="s">
        <v>126</v>
      </c>
      <c r="H16" s="104" t="s">
        <v>126</v>
      </c>
      <c r="I16" s="104" t="s">
        <v>126</v>
      </c>
      <c r="J16" s="104" t="s">
        <v>126</v>
      </c>
      <c r="K16" s="104" t="s">
        <v>126</v>
      </c>
      <c r="L16" s="104" t="s">
        <v>126</v>
      </c>
      <c r="M16" s="104" t="s">
        <v>126</v>
      </c>
      <c r="N16" s="144" t="s">
        <v>126</v>
      </c>
      <c r="O16" s="104" t="s">
        <v>970</v>
      </c>
      <c r="P16" s="104" t="s">
        <v>971</v>
      </c>
      <c r="Q16" s="104" t="s">
        <v>990</v>
      </c>
      <c r="R16" s="104" t="s">
        <v>991</v>
      </c>
      <c r="S16" s="104" t="s">
        <v>1029</v>
      </c>
      <c r="T16" s="104" t="s">
        <v>1030</v>
      </c>
      <c r="U16" s="104" t="s">
        <v>763</v>
      </c>
      <c r="V16" s="104"/>
      <c r="W16" s="104" t="s">
        <v>1031</v>
      </c>
      <c r="X16" s="104" t="s">
        <v>1032</v>
      </c>
    </row>
    <row r="17" spans="2:24" ht="63">
      <c r="B17" s="103" t="s">
        <v>1027</v>
      </c>
      <c r="C17" s="103" t="s">
        <v>1028</v>
      </c>
      <c r="D17" s="104" t="s">
        <v>1033</v>
      </c>
      <c r="E17" s="104" t="s">
        <v>1034</v>
      </c>
      <c r="F17" s="104" t="s">
        <v>1035</v>
      </c>
      <c r="G17" s="104" t="s">
        <v>1036</v>
      </c>
      <c r="H17" s="104" t="s">
        <v>1037</v>
      </c>
      <c r="I17" s="104" t="s">
        <v>1038</v>
      </c>
      <c r="J17" s="104">
        <v>0</v>
      </c>
      <c r="K17" s="104">
        <v>0</v>
      </c>
      <c r="L17" s="104" t="s">
        <v>1039</v>
      </c>
      <c r="M17" s="104" t="s">
        <v>1040</v>
      </c>
      <c r="N17" s="104" t="s">
        <v>127</v>
      </c>
      <c r="O17" s="104" t="s">
        <v>970</v>
      </c>
      <c r="P17" s="104" t="s">
        <v>971</v>
      </c>
      <c r="Q17" s="104" t="s">
        <v>990</v>
      </c>
      <c r="R17" s="104" t="s">
        <v>991</v>
      </c>
      <c r="S17" s="104" t="s">
        <v>1033</v>
      </c>
      <c r="T17" s="104" t="s">
        <v>1034</v>
      </c>
      <c r="U17" s="104" t="s">
        <v>763</v>
      </c>
      <c r="V17" s="104"/>
      <c r="W17" s="104" t="s">
        <v>1031</v>
      </c>
      <c r="X17" s="104" t="s">
        <v>1032</v>
      </c>
    </row>
    <row r="18" spans="2:24" ht="63">
      <c r="B18" s="103" t="s">
        <v>1027</v>
      </c>
      <c r="C18" s="103" t="s">
        <v>1028</v>
      </c>
      <c r="D18" s="104" t="s">
        <v>1041</v>
      </c>
      <c r="E18" s="104" t="s">
        <v>1042</v>
      </c>
      <c r="F18" s="104" t="s">
        <v>1035</v>
      </c>
      <c r="G18" s="104" t="s">
        <v>1036</v>
      </c>
      <c r="H18" s="104" t="s">
        <v>1037</v>
      </c>
      <c r="I18" s="104" t="s">
        <v>1038</v>
      </c>
      <c r="J18" s="104">
        <v>0</v>
      </c>
      <c r="K18" s="104">
        <v>0</v>
      </c>
      <c r="L18" s="104" t="s">
        <v>1039</v>
      </c>
      <c r="M18" s="104" t="s">
        <v>1040</v>
      </c>
      <c r="N18" s="104" t="s">
        <v>127</v>
      </c>
      <c r="O18" s="104" t="s">
        <v>970</v>
      </c>
      <c r="P18" s="104" t="s">
        <v>971</v>
      </c>
      <c r="Q18" s="104" t="s">
        <v>990</v>
      </c>
      <c r="R18" s="104" t="s">
        <v>991</v>
      </c>
      <c r="S18" s="104" t="s">
        <v>1041</v>
      </c>
      <c r="T18" s="104" t="s">
        <v>1042</v>
      </c>
      <c r="U18" s="104" t="s">
        <v>763</v>
      </c>
      <c r="V18" s="104"/>
      <c r="W18" s="104" t="s">
        <v>1031</v>
      </c>
      <c r="X18" s="104" t="s">
        <v>1032</v>
      </c>
    </row>
    <row r="19" spans="2:24" ht="105.75" customHeight="1">
      <c r="B19" s="103" t="s">
        <v>1027</v>
      </c>
      <c r="C19" s="103" t="s">
        <v>1028</v>
      </c>
      <c r="D19" s="104" t="s">
        <v>1043</v>
      </c>
      <c r="E19" s="104" t="s">
        <v>1044</v>
      </c>
      <c r="F19" s="104" t="s">
        <v>1045</v>
      </c>
      <c r="G19" s="104" t="s">
        <v>1046</v>
      </c>
      <c r="H19" s="104" t="s">
        <v>144</v>
      </c>
      <c r="I19" s="104" t="s">
        <v>318</v>
      </c>
      <c r="J19" s="104">
        <v>0</v>
      </c>
      <c r="K19" s="104">
        <v>0</v>
      </c>
      <c r="L19" s="144" t="s">
        <v>126</v>
      </c>
      <c r="M19" s="144" t="s">
        <v>126</v>
      </c>
      <c r="N19" s="104" t="s">
        <v>1047</v>
      </c>
      <c r="O19" s="104" t="s">
        <v>970</v>
      </c>
      <c r="P19" s="104" t="s">
        <v>971</v>
      </c>
      <c r="Q19" s="104" t="s">
        <v>990</v>
      </c>
      <c r="R19" s="104" t="s">
        <v>991</v>
      </c>
      <c r="S19" s="104" t="s">
        <v>1043</v>
      </c>
      <c r="T19" s="104" t="s">
        <v>1044</v>
      </c>
      <c r="U19" s="104" t="s">
        <v>763</v>
      </c>
      <c r="V19" s="104"/>
      <c r="W19" s="104" t="s">
        <v>1031</v>
      </c>
      <c r="X19" s="104" t="s">
        <v>1032</v>
      </c>
    </row>
    <row r="20" spans="2:24" ht="132" customHeight="1">
      <c r="B20" s="103" t="s">
        <v>1027</v>
      </c>
      <c r="C20" s="103" t="s">
        <v>1028</v>
      </c>
      <c r="D20" s="104" t="s">
        <v>1048</v>
      </c>
      <c r="E20" s="144" t="s">
        <v>1049</v>
      </c>
      <c r="F20" s="144" t="s">
        <v>1050</v>
      </c>
      <c r="G20" s="144" t="s">
        <v>1051</v>
      </c>
      <c r="H20" s="104" t="s">
        <v>1013</v>
      </c>
      <c r="I20" s="104" t="s">
        <v>1013</v>
      </c>
      <c r="J20" s="104">
        <v>0</v>
      </c>
      <c r="K20" s="104">
        <v>0</v>
      </c>
      <c r="L20" s="144">
        <v>36000</v>
      </c>
      <c r="M20" s="144">
        <v>36000</v>
      </c>
      <c r="N20" s="144" t="s">
        <v>1052</v>
      </c>
      <c r="O20" s="104" t="s">
        <v>1053</v>
      </c>
      <c r="P20" s="104" t="s">
        <v>971</v>
      </c>
      <c r="Q20" s="104" t="s">
        <v>997</v>
      </c>
      <c r="R20" s="104" t="s">
        <v>991</v>
      </c>
      <c r="S20" s="104" t="s">
        <v>1054</v>
      </c>
      <c r="T20" s="144" t="s">
        <v>1055</v>
      </c>
      <c r="U20" s="104" t="s">
        <v>763</v>
      </c>
      <c r="V20" s="104"/>
      <c r="W20" s="104" t="s">
        <v>1053</v>
      </c>
      <c r="X20" s="104" t="s">
        <v>1056</v>
      </c>
    </row>
    <row r="21" spans="2:24" ht="63">
      <c r="B21" s="104" t="s">
        <v>1057</v>
      </c>
      <c r="C21" s="104" t="s">
        <v>1058</v>
      </c>
      <c r="D21" s="104" t="s">
        <v>1029</v>
      </c>
      <c r="E21" s="104" t="s">
        <v>1030</v>
      </c>
      <c r="F21" s="104" t="s">
        <v>126</v>
      </c>
      <c r="G21" s="104" t="s">
        <v>126</v>
      </c>
      <c r="H21" s="104" t="s">
        <v>126</v>
      </c>
      <c r="I21" s="104" t="s">
        <v>126</v>
      </c>
      <c r="J21" s="104" t="s">
        <v>126</v>
      </c>
      <c r="K21" s="104" t="s">
        <v>126</v>
      </c>
      <c r="L21" s="144" t="s">
        <v>126</v>
      </c>
      <c r="M21" s="144" t="s">
        <v>126</v>
      </c>
      <c r="N21" s="144" t="s">
        <v>126</v>
      </c>
      <c r="O21" s="104" t="s">
        <v>970</v>
      </c>
      <c r="P21" s="104" t="s">
        <v>971</v>
      </c>
      <c r="Q21" s="104" t="s">
        <v>990</v>
      </c>
      <c r="R21" s="104" t="s">
        <v>991</v>
      </c>
      <c r="S21" s="104" t="s">
        <v>1029</v>
      </c>
      <c r="T21" s="104" t="s">
        <v>1030</v>
      </c>
      <c r="U21" s="104" t="s">
        <v>763</v>
      </c>
      <c r="V21" s="104"/>
      <c r="W21" s="104" t="s">
        <v>1031</v>
      </c>
      <c r="X21" s="104"/>
    </row>
    <row r="22" spans="2:24" ht="63">
      <c r="B22" s="104" t="s">
        <v>1057</v>
      </c>
      <c r="C22" s="104" t="s">
        <v>1058</v>
      </c>
      <c r="D22" s="104" t="s">
        <v>1033</v>
      </c>
      <c r="E22" s="104" t="s">
        <v>1034</v>
      </c>
      <c r="F22" s="104" t="s">
        <v>1035</v>
      </c>
      <c r="G22" s="104" t="s">
        <v>1036</v>
      </c>
      <c r="H22" s="104" t="s">
        <v>1037</v>
      </c>
      <c r="I22" s="104" t="s">
        <v>1038</v>
      </c>
      <c r="J22" s="104">
        <v>0</v>
      </c>
      <c r="K22" s="104">
        <v>0</v>
      </c>
      <c r="L22" s="104" t="s">
        <v>1039</v>
      </c>
      <c r="M22" s="104" t="s">
        <v>1040</v>
      </c>
      <c r="N22" s="104" t="s">
        <v>127</v>
      </c>
      <c r="O22" s="104" t="s">
        <v>970</v>
      </c>
      <c r="P22" s="104" t="s">
        <v>971</v>
      </c>
      <c r="Q22" s="104" t="s">
        <v>990</v>
      </c>
      <c r="R22" s="104" t="s">
        <v>991</v>
      </c>
      <c r="S22" s="104" t="s">
        <v>1033</v>
      </c>
      <c r="T22" s="104" t="s">
        <v>1034</v>
      </c>
      <c r="U22" s="104" t="s">
        <v>763</v>
      </c>
      <c r="V22" s="104"/>
      <c r="W22" s="104" t="s">
        <v>1031</v>
      </c>
      <c r="X22" s="104"/>
    </row>
    <row r="23" spans="2:24" ht="63">
      <c r="B23" s="104" t="s">
        <v>1057</v>
      </c>
      <c r="C23" s="104" t="s">
        <v>1058</v>
      </c>
      <c r="D23" s="104" t="s">
        <v>1041</v>
      </c>
      <c r="E23" s="104" t="s">
        <v>1042</v>
      </c>
      <c r="F23" s="104" t="s">
        <v>1035</v>
      </c>
      <c r="G23" s="104" t="s">
        <v>1036</v>
      </c>
      <c r="H23" s="104" t="s">
        <v>1037</v>
      </c>
      <c r="I23" s="104" t="s">
        <v>1038</v>
      </c>
      <c r="J23" s="104">
        <v>0</v>
      </c>
      <c r="K23" s="104">
        <v>0</v>
      </c>
      <c r="L23" s="104" t="s">
        <v>1039</v>
      </c>
      <c r="M23" s="104" t="s">
        <v>1040</v>
      </c>
      <c r="N23" s="104" t="s">
        <v>192</v>
      </c>
      <c r="O23" s="104" t="s">
        <v>970</v>
      </c>
      <c r="P23" s="104" t="s">
        <v>971</v>
      </c>
      <c r="Q23" s="104" t="s">
        <v>990</v>
      </c>
      <c r="R23" s="104" t="s">
        <v>991</v>
      </c>
      <c r="S23" s="104" t="s">
        <v>1041</v>
      </c>
      <c r="T23" s="104" t="s">
        <v>1042</v>
      </c>
      <c r="U23" s="104" t="s">
        <v>763</v>
      </c>
      <c r="V23" s="104"/>
      <c r="W23" s="104" t="s">
        <v>1031</v>
      </c>
      <c r="X23" s="104"/>
    </row>
    <row r="24" spans="2:24" ht="63">
      <c r="B24" s="104" t="s">
        <v>1057</v>
      </c>
      <c r="C24" s="104" t="s">
        <v>1058</v>
      </c>
      <c r="D24" s="104" t="s">
        <v>1043</v>
      </c>
      <c r="E24" s="104" t="s">
        <v>1044</v>
      </c>
      <c r="F24" s="104" t="s">
        <v>1045</v>
      </c>
      <c r="G24" s="104" t="s">
        <v>1046</v>
      </c>
      <c r="H24" s="104" t="s">
        <v>144</v>
      </c>
      <c r="I24" s="104" t="s">
        <v>318</v>
      </c>
      <c r="J24" s="104">
        <v>0</v>
      </c>
      <c r="K24" s="104">
        <v>0</v>
      </c>
      <c r="L24" s="104" t="s">
        <v>1059</v>
      </c>
      <c r="M24" s="104" t="s">
        <v>1060</v>
      </c>
      <c r="N24" s="104" t="s">
        <v>1061</v>
      </c>
      <c r="O24" s="104" t="s">
        <v>970</v>
      </c>
      <c r="P24" s="104" t="s">
        <v>971</v>
      </c>
      <c r="Q24" s="104" t="s">
        <v>990</v>
      </c>
      <c r="R24" s="104" t="s">
        <v>991</v>
      </c>
      <c r="S24" s="104" t="s">
        <v>1043</v>
      </c>
      <c r="T24" s="104" t="s">
        <v>1044</v>
      </c>
      <c r="U24" s="104" t="s">
        <v>763</v>
      </c>
      <c r="V24" s="104"/>
      <c r="W24" s="104" t="s">
        <v>1031</v>
      </c>
      <c r="X24" s="104"/>
    </row>
    <row r="25" spans="2:24" ht="110.25">
      <c r="B25" s="104" t="s">
        <v>1057</v>
      </c>
      <c r="C25" s="104" t="s">
        <v>1058</v>
      </c>
      <c r="D25" s="104" t="s">
        <v>1062</v>
      </c>
      <c r="E25" s="131" t="s">
        <v>1063</v>
      </c>
      <c r="F25" s="131" t="s">
        <v>967</v>
      </c>
      <c r="G25" s="131" t="s">
        <v>1064</v>
      </c>
      <c r="H25" s="104" t="s">
        <v>778</v>
      </c>
      <c r="I25" s="104" t="s">
        <v>969</v>
      </c>
      <c r="J25" s="104">
        <v>0</v>
      </c>
      <c r="K25" s="104">
        <v>0</v>
      </c>
      <c r="L25" s="144">
        <v>60</v>
      </c>
      <c r="M25" s="144">
        <v>60</v>
      </c>
      <c r="N25" s="144" t="s">
        <v>1052</v>
      </c>
      <c r="O25" s="104" t="s">
        <v>1065</v>
      </c>
      <c r="P25" s="104" t="s">
        <v>1066</v>
      </c>
      <c r="Q25" s="104" t="s">
        <v>997</v>
      </c>
      <c r="R25" s="104" t="s">
        <v>991</v>
      </c>
      <c r="S25" s="104" t="s">
        <v>1067</v>
      </c>
      <c r="T25" s="104" t="s">
        <v>1068</v>
      </c>
      <c r="U25" s="104" t="s">
        <v>763</v>
      </c>
      <c r="V25" s="104"/>
      <c r="W25" s="104" t="s">
        <v>1065</v>
      </c>
      <c r="X25" s="104" t="s">
        <v>1069</v>
      </c>
    </row>
  </sheetData>
  <mergeCells count="3">
    <mergeCell ref="B2:X2"/>
    <mergeCell ref="H3:M3"/>
    <mergeCell ref="B5:M5"/>
  </mergeCells>
  <pageMargins left="0.7" right="0.7" top="0.75" bottom="0.75" header="0.3" footer="0.3"/>
  <pageSetup paperSize="8" scale="31" fitToHeight="0" orientation="landscape" verticalDpi="30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FE561-3439-4A1C-8EA8-1F91BCB68CFB}">
  <dimension ref="A1:Z31"/>
  <sheetViews>
    <sheetView showGridLines="0" zoomScaleNormal="100" workbookViewId="0">
      <pane ySplit="4" topLeftCell="A5" activePane="bottomLeft" state="frozen"/>
      <selection pane="bottomLeft" activeCell="D8" sqref="D8"/>
    </sheetView>
  </sheetViews>
  <sheetFormatPr defaultRowHeight="15"/>
  <cols>
    <col min="1" max="1" width="2.42578125" customWidth="1"/>
    <col min="2" max="2" width="29.5703125" customWidth="1"/>
    <col min="3" max="3" width="19.85546875" hidden="1" customWidth="1"/>
    <col min="4" max="4" width="39.7109375" customWidth="1"/>
    <col min="5" max="5" width="20.85546875" hidden="1" customWidth="1"/>
    <col min="6" max="6" width="23.140625" customWidth="1"/>
    <col min="7" max="7" width="40.5703125" hidden="1" customWidth="1"/>
    <col min="8" max="8" width="20.85546875" bestFit="1" customWidth="1"/>
    <col min="9" max="9" width="17" hidden="1" customWidth="1"/>
    <col min="10" max="10" width="21.5703125" bestFit="1" customWidth="1"/>
    <col min="11" max="11" width="9.42578125" hidden="1" customWidth="1"/>
    <col min="12" max="12" width="26" bestFit="1" customWidth="1"/>
    <col min="13" max="13" width="16.7109375" hidden="1" customWidth="1"/>
    <col min="14" max="14" width="13.7109375" bestFit="1" customWidth="1"/>
    <col min="15" max="15" width="16.28515625" customWidth="1"/>
    <col min="16" max="16" width="0" hidden="1" customWidth="1"/>
    <col min="17" max="17" width="10.85546875" bestFit="1" customWidth="1"/>
    <col min="18" max="18" width="14.85546875" hidden="1" customWidth="1"/>
    <col min="19" max="19" width="27" customWidth="1"/>
    <col min="20" max="20" width="15.85546875" hidden="1" customWidth="1"/>
    <col min="22" max="22" width="0" hidden="1" customWidth="1"/>
    <col min="23" max="23" width="13.85546875" customWidth="1"/>
    <col min="24" max="24" width="8.85546875" hidden="1" customWidth="1"/>
  </cols>
  <sheetData>
    <row r="1" spans="1:26" ht="15.75" thickBot="1"/>
    <row r="2" spans="1:26"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1:26" ht="79.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1:26" ht="16.5" thickBot="1">
      <c r="B4" s="261"/>
      <c r="C4" s="262"/>
      <c r="D4" s="263"/>
      <c r="E4" s="262"/>
      <c r="F4" s="262"/>
      <c r="G4" s="262"/>
      <c r="H4" s="264" t="s">
        <v>19</v>
      </c>
      <c r="I4" s="115" t="s">
        <v>20</v>
      </c>
      <c r="J4" s="264" t="s">
        <v>21</v>
      </c>
      <c r="K4" s="115" t="s">
        <v>22</v>
      </c>
      <c r="L4" s="264" t="s">
        <v>23</v>
      </c>
      <c r="M4" s="115" t="s">
        <v>24</v>
      </c>
      <c r="N4" s="265"/>
      <c r="O4" s="262"/>
      <c r="P4" s="262"/>
      <c r="Q4" s="262"/>
      <c r="R4" s="262"/>
      <c r="S4" s="262"/>
      <c r="T4" s="266"/>
      <c r="U4" s="262"/>
      <c r="V4" s="262"/>
      <c r="W4" s="262"/>
      <c r="X4" s="94"/>
    </row>
    <row r="5" spans="1:26" ht="41.25" customHeight="1">
      <c r="B5" s="267" t="s">
        <v>1070</v>
      </c>
      <c r="C5" s="268"/>
      <c r="D5" s="647"/>
      <c r="E5" s="648"/>
      <c r="F5" s="648"/>
      <c r="G5" s="648"/>
      <c r="H5" s="648"/>
      <c r="I5" s="648"/>
      <c r="J5" s="648"/>
      <c r="K5" s="648"/>
      <c r="L5" s="648"/>
      <c r="M5" s="648"/>
      <c r="N5" s="648"/>
      <c r="O5" s="648"/>
      <c r="P5" s="648"/>
      <c r="Q5" s="648"/>
      <c r="R5" s="648"/>
      <c r="S5" s="648"/>
      <c r="T5" s="648"/>
      <c r="U5" s="648"/>
      <c r="V5" s="648"/>
      <c r="W5" s="649"/>
      <c r="X5" s="269"/>
    </row>
    <row r="6" spans="1:26" ht="41.25" customHeight="1">
      <c r="B6" s="270" t="s">
        <v>1071</v>
      </c>
      <c r="C6" s="271"/>
      <c r="D6" s="272"/>
      <c r="E6" s="273"/>
      <c r="F6" s="274"/>
      <c r="G6" s="274"/>
      <c r="H6" s="274"/>
      <c r="I6" s="274"/>
      <c r="J6" s="274"/>
      <c r="K6" s="274"/>
      <c r="L6" s="274"/>
      <c r="M6" s="274"/>
      <c r="N6" s="274"/>
      <c r="O6" s="274"/>
      <c r="P6" s="274"/>
      <c r="Q6" s="274"/>
      <c r="R6" s="274"/>
      <c r="S6" s="274"/>
      <c r="T6" s="274"/>
      <c r="U6" s="274"/>
      <c r="V6" s="274"/>
      <c r="W6" s="275"/>
      <c r="X6" s="269"/>
    </row>
    <row r="7" spans="1:26" ht="41.25" customHeight="1">
      <c r="B7" s="276" t="s">
        <v>1071</v>
      </c>
      <c r="C7" s="271"/>
      <c r="D7" s="277" t="s">
        <v>1072</v>
      </c>
      <c r="E7" s="271"/>
      <c r="F7" s="278" t="s">
        <v>1073</v>
      </c>
      <c r="G7" s="279"/>
      <c r="H7" s="280" t="s">
        <v>28</v>
      </c>
      <c r="I7" s="279"/>
      <c r="J7" s="280" t="s">
        <v>28</v>
      </c>
      <c r="K7" s="279"/>
      <c r="L7" s="280" t="s">
        <v>28</v>
      </c>
      <c r="M7" s="279"/>
      <c r="N7" s="278" t="s">
        <v>1074</v>
      </c>
      <c r="O7" s="278" t="s">
        <v>1075</v>
      </c>
      <c r="P7" s="279"/>
      <c r="Q7" s="278" t="s">
        <v>1076</v>
      </c>
      <c r="R7" s="279"/>
      <c r="S7" s="278" t="s">
        <v>1077</v>
      </c>
      <c r="T7" s="279"/>
      <c r="U7" s="278" t="s">
        <v>1078</v>
      </c>
      <c r="V7" s="278"/>
      <c r="W7" s="278" t="s">
        <v>1079</v>
      </c>
      <c r="X7" s="269"/>
    </row>
    <row r="8" spans="1:26" ht="41.25" customHeight="1">
      <c r="B8" s="276" t="s">
        <v>1071</v>
      </c>
      <c r="C8" s="271"/>
      <c r="D8" s="277" t="s">
        <v>1080</v>
      </c>
      <c r="E8" s="271"/>
      <c r="F8" s="281" t="s">
        <v>1081</v>
      </c>
      <c r="G8" s="282"/>
      <c r="H8" s="280" t="s">
        <v>28</v>
      </c>
      <c r="I8" s="282"/>
      <c r="J8" s="280" t="s">
        <v>28</v>
      </c>
      <c r="K8" s="282"/>
      <c r="L8" s="280" t="s">
        <v>28</v>
      </c>
      <c r="M8" s="282"/>
      <c r="N8" s="281" t="s">
        <v>545</v>
      </c>
      <c r="O8" s="281" t="s">
        <v>1082</v>
      </c>
      <c r="P8" s="282"/>
      <c r="Q8" s="281" t="s">
        <v>1076</v>
      </c>
      <c r="R8" s="282"/>
      <c r="S8" s="281" t="s">
        <v>1083</v>
      </c>
      <c r="T8" s="282"/>
      <c r="U8" s="281" t="s">
        <v>1084</v>
      </c>
      <c r="V8" s="281"/>
      <c r="W8" s="281" t="s">
        <v>1085</v>
      </c>
      <c r="X8" s="269"/>
    </row>
    <row r="9" spans="1:26" ht="38.25" customHeight="1">
      <c r="B9" s="650" t="s">
        <v>1086</v>
      </c>
      <c r="C9" s="283"/>
      <c r="D9" s="284" t="s">
        <v>1087</v>
      </c>
      <c r="E9" s="283"/>
      <c r="F9" s="283"/>
      <c r="G9" s="283"/>
      <c r="H9" s="283"/>
      <c r="I9" s="283"/>
      <c r="J9" s="283"/>
      <c r="K9" s="283"/>
      <c r="L9" s="283"/>
      <c r="M9" s="285"/>
      <c r="N9" s="652"/>
      <c r="O9" s="652"/>
      <c r="P9" s="652"/>
      <c r="Q9" s="652"/>
      <c r="R9" s="652"/>
      <c r="S9" s="652"/>
      <c r="T9" s="652"/>
      <c r="U9" s="652"/>
      <c r="V9" s="652"/>
      <c r="W9" s="653"/>
      <c r="X9" s="286"/>
      <c r="Y9" s="286"/>
      <c r="Z9" s="286"/>
    </row>
    <row r="10" spans="1:26" ht="61.5" customHeight="1">
      <c r="B10" s="651"/>
      <c r="C10" s="283"/>
      <c r="D10" s="656" t="s">
        <v>1088</v>
      </c>
      <c r="E10" s="283"/>
      <c r="F10" s="283"/>
      <c r="G10" s="283"/>
      <c r="H10" s="283"/>
      <c r="I10" s="283"/>
      <c r="J10" s="283"/>
      <c r="K10" s="283"/>
      <c r="L10" s="283"/>
      <c r="M10" s="283"/>
      <c r="N10" s="652"/>
      <c r="O10" s="652"/>
      <c r="P10" s="652"/>
      <c r="Q10" s="652"/>
      <c r="R10" s="652"/>
      <c r="S10" s="652"/>
      <c r="T10" s="652"/>
      <c r="U10" s="652"/>
      <c r="V10" s="652"/>
      <c r="W10" s="653"/>
      <c r="X10" s="286"/>
      <c r="Y10" s="286"/>
      <c r="Z10" s="286"/>
    </row>
    <row r="11" spans="1:26" ht="6" customHeight="1">
      <c r="B11" s="651"/>
      <c r="C11" s="283"/>
      <c r="D11" s="657"/>
      <c r="E11" s="283"/>
      <c r="F11" s="283"/>
      <c r="G11" s="283"/>
      <c r="H11" s="283"/>
      <c r="I11" s="283"/>
      <c r="J11" s="283"/>
      <c r="K11" s="283"/>
      <c r="L11" s="283"/>
      <c r="M11" s="283"/>
      <c r="N11" s="654"/>
      <c r="O11" s="654"/>
      <c r="P11" s="654"/>
      <c r="Q11" s="654"/>
      <c r="R11" s="654"/>
      <c r="S11" s="654"/>
      <c r="T11" s="654"/>
      <c r="U11" s="654"/>
      <c r="V11" s="654"/>
      <c r="W11" s="655"/>
      <c r="X11" s="286"/>
      <c r="Y11" s="286"/>
      <c r="Z11" s="286"/>
    </row>
    <row r="12" spans="1:26" s="293" customFormat="1" ht="30">
      <c r="A12" s="287"/>
      <c r="B12" s="642" t="s">
        <v>1089</v>
      </c>
      <c r="C12" s="288"/>
      <c r="D12" s="644" t="s">
        <v>1090</v>
      </c>
      <c r="E12" s="289"/>
      <c r="F12" s="290" t="s">
        <v>1091</v>
      </c>
      <c r="G12" s="291"/>
      <c r="H12" s="640"/>
      <c r="I12" s="291"/>
      <c r="J12" s="640"/>
      <c r="K12" s="291"/>
      <c r="L12" s="640"/>
      <c r="M12" s="291"/>
      <c r="N12" s="292" t="s">
        <v>192</v>
      </c>
      <c r="O12" s="640" t="s">
        <v>1092</v>
      </c>
      <c r="P12" s="291"/>
      <c r="Q12" s="638" t="s">
        <v>1092</v>
      </c>
      <c r="R12" s="291"/>
      <c r="S12" s="640" t="s">
        <v>1093</v>
      </c>
      <c r="T12" s="291"/>
      <c r="U12" s="640" t="s">
        <v>1094</v>
      </c>
      <c r="V12" s="291"/>
      <c r="W12" s="640" t="s">
        <v>1095</v>
      </c>
      <c r="X12" s="287"/>
      <c r="Y12" s="287"/>
      <c r="Z12" s="287"/>
    </row>
    <row r="13" spans="1:26" s="297" customFormat="1" ht="76.5" customHeight="1">
      <c r="A13" s="286"/>
      <c r="B13" s="643"/>
      <c r="C13" s="288" t="s">
        <v>1096</v>
      </c>
      <c r="D13" s="645"/>
      <c r="E13" s="294" t="s">
        <v>1097</v>
      </c>
      <c r="F13" s="290" t="s">
        <v>1098</v>
      </c>
      <c r="G13" s="291"/>
      <c r="H13" s="646"/>
      <c r="I13" s="295"/>
      <c r="J13" s="646"/>
      <c r="K13" s="295"/>
      <c r="L13" s="646"/>
      <c r="M13" s="291"/>
      <c r="N13" s="296" t="s">
        <v>340</v>
      </c>
      <c r="O13" s="641"/>
      <c r="P13" s="291"/>
      <c r="Q13" s="639"/>
      <c r="R13" s="291"/>
      <c r="S13" s="641"/>
      <c r="T13" s="291"/>
      <c r="U13" s="641"/>
      <c r="V13" s="291"/>
      <c r="W13" s="641"/>
      <c r="X13" s="286"/>
      <c r="Y13" s="286"/>
      <c r="Z13" s="286"/>
    </row>
    <row r="14" spans="1:26" s="293" customFormat="1" ht="102" customHeight="1">
      <c r="A14" s="287"/>
      <c r="B14" s="298" t="s">
        <v>1099</v>
      </c>
      <c r="C14" s="299" t="s">
        <v>1096</v>
      </c>
      <c r="D14" s="300" t="s">
        <v>1100</v>
      </c>
      <c r="E14" s="301" t="s">
        <v>1101</v>
      </c>
      <c r="F14" s="302" t="s">
        <v>1102</v>
      </c>
      <c r="G14" s="303"/>
      <c r="H14" s="304"/>
      <c r="I14" s="304"/>
      <c r="J14" s="305"/>
      <c r="K14" s="304"/>
      <c r="L14" s="305"/>
      <c r="M14" s="303"/>
      <c r="N14" s="306" t="s">
        <v>145</v>
      </c>
      <c r="O14" s="307" t="s">
        <v>1103</v>
      </c>
      <c r="P14" s="303"/>
      <c r="Q14" s="307" t="s">
        <v>1103</v>
      </c>
      <c r="R14" s="303"/>
      <c r="S14" s="308" t="s">
        <v>1104</v>
      </c>
      <c r="T14" s="303"/>
      <c r="U14" s="309" t="s">
        <v>1105</v>
      </c>
      <c r="V14" s="289"/>
      <c r="W14" s="310" t="s">
        <v>1095</v>
      </c>
      <c r="X14" s="287"/>
      <c r="Y14" s="287"/>
      <c r="Z14" s="287"/>
    </row>
    <row r="15" spans="1:26" s="293" customFormat="1" ht="94.5" customHeight="1">
      <c r="A15" s="287"/>
      <c r="B15" s="298" t="s">
        <v>1106</v>
      </c>
      <c r="C15" s="311" t="s">
        <v>1096</v>
      </c>
      <c r="D15" s="312" t="s">
        <v>1107</v>
      </c>
      <c r="E15" s="313" t="s">
        <v>1108</v>
      </c>
      <c r="F15" s="308" t="s">
        <v>1109</v>
      </c>
      <c r="G15" s="314"/>
      <c r="H15" s="314"/>
      <c r="I15" s="314"/>
      <c r="J15" s="315"/>
      <c r="K15" s="314"/>
      <c r="L15" s="315"/>
      <c r="M15" s="314"/>
      <c r="N15" s="316" t="s">
        <v>145</v>
      </c>
      <c r="O15" s="317" t="s">
        <v>1103</v>
      </c>
      <c r="P15" s="314"/>
      <c r="Q15" s="318" t="s">
        <v>1103</v>
      </c>
      <c r="R15" s="314"/>
      <c r="S15" s="319" t="s">
        <v>1110</v>
      </c>
      <c r="T15" s="314"/>
      <c r="U15" s="319" t="s">
        <v>1111</v>
      </c>
      <c r="V15" s="315"/>
      <c r="W15" s="319" t="s">
        <v>1112</v>
      </c>
      <c r="X15" s="287"/>
      <c r="Y15" s="287"/>
      <c r="Z15" s="287"/>
    </row>
    <row r="16" spans="1:26" s="293" customFormat="1" ht="75.75" customHeight="1">
      <c r="A16" s="287"/>
      <c r="B16" s="320" t="s">
        <v>1113</v>
      </c>
      <c r="C16" s="288" t="s">
        <v>1096</v>
      </c>
      <c r="D16" s="321" t="s">
        <v>1087</v>
      </c>
      <c r="E16" s="321" t="s">
        <v>1114</v>
      </c>
      <c r="F16" s="322" t="s">
        <v>1115</v>
      </c>
      <c r="G16" s="323"/>
      <c r="H16" s="324" t="s">
        <v>1116</v>
      </c>
      <c r="I16" s="321" t="s">
        <v>1117</v>
      </c>
      <c r="J16" s="317" t="s">
        <v>1118</v>
      </c>
      <c r="K16" s="325">
        <v>0</v>
      </c>
      <c r="L16" s="326" t="s">
        <v>1119</v>
      </c>
      <c r="M16" s="327" t="s">
        <v>1120</v>
      </c>
      <c r="N16" s="328" t="s">
        <v>145</v>
      </c>
      <c r="O16" s="290" t="s">
        <v>1103</v>
      </c>
      <c r="P16" s="323" t="s">
        <v>1121</v>
      </c>
      <c r="Q16" s="323" t="s">
        <v>1103</v>
      </c>
      <c r="R16" s="323" t="s">
        <v>1121</v>
      </c>
      <c r="S16" s="329" t="s">
        <v>1122</v>
      </c>
      <c r="T16" s="323"/>
      <c r="U16" s="312" t="s">
        <v>1123</v>
      </c>
      <c r="V16" s="330"/>
      <c r="W16" s="331" t="s">
        <v>1112</v>
      </c>
      <c r="X16" s="288"/>
      <c r="Y16" s="287"/>
      <c r="Z16" s="287"/>
    </row>
    <row r="17" spans="1:26" s="293" customFormat="1" ht="116.25" customHeight="1" thickBot="1">
      <c r="A17" s="287"/>
      <c r="B17" s="332" t="s">
        <v>1124</v>
      </c>
      <c r="C17" s="333" t="s">
        <v>1096</v>
      </c>
      <c r="D17" s="334" t="s">
        <v>1125</v>
      </c>
      <c r="E17" s="335" t="s">
        <v>1114</v>
      </c>
      <c r="F17" s="336" t="s">
        <v>1126</v>
      </c>
      <c r="G17" s="337"/>
      <c r="H17" s="338" t="s">
        <v>1116</v>
      </c>
      <c r="I17" s="335" t="s">
        <v>1117</v>
      </c>
      <c r="J17" s="335" t="s">
        <v>1127</v>
      </c>
      <c r="K17" s="339">
        <v>0</v>
      </c>
      <c r="L17" s="340" t="s">
        <v>1128</v>
      </c>
      <c r="M17" s="335" t="s">
        <v>1129</v>
      </c>
      <c r="N17" s="292" t="s">
        <v>145</v>
      </c>
      <c r="O17" s="341" t="s">
        <v>1103</v>
      </c>
      <c r="P17" s="337" t="s">
        <v>1121</v>
      </c>
      <c r="Q17" s="337" t="s">
        <v>1103</v>
      </c>
      <c r="R17" s="337" t="s">
        <v>1121</v>
      </c>
      <c r="S17" s="342" t="s">
        <v>1130</v>
      </c>
      <c r="T17" s="337"/>
      <c r="U17" s="312" t="s">
        <v>1123</v>
      </c>
      <c r="V17" s="337"/>
      <c r="W17" s="343" t="s">
        <v>1112</v>
      </c>
      <c r="X17" s="288"/>
      <c r="Y17" s="287"/>
      <c r="Z17" s="287"/>
    </row>
    <row r="18" spans="1:26" s="146" customFormat="1" ht="32.25" thickBot="1">
      <c r="B18" s="344" t="s">
        <v>1131</v>
      </c>
      <c r="C18" s="345"/>
      <c r="D18" s="346"/>
      <c r="E18" s="347"/>
      <c r="F18" s="347"/>
      <c r="G18" s="347"/>
      <c r="H18" s="347"/>
      <c r="I18" s="347"/>
      <c r="J18" s="347"/>
      <c r="K18" s="347"/>
      <c r="L18" s="347"/>
      <c r="M18" s="347"/>
      <c r="N18" s="347"/>
      <c r="O18" s="347"/>
      <c r="P18" s="347"/>
      <c r="Q18" s="348"/>
      <c r="R18" s="349"/>
      <c r="S18" s="350"/>
      <c r="T18" s="347"/>
      <c r="U18" s="347"/>
      <c r="V18" s="347"/>
      <c r="W18" s="351"/>
      <c r="X18" s="143"/>
    </row>
    <row r="19" spans="1:26" s="146" customFormat="1" ht="75">
      <c r="B19" s="352" t="s">
        <v>1131</v>
      </c>
      <c r="C19" s="143"/>
      <c r="D19" s="321" t="s">
        <v>1090</v>
      </c>
      <c r="E19" s="143"/>
      <c r="F19" s="353" t="s">
        <v>1132</v>
      </c>
      <c r="G19" s="143"/>
      <c r="H19" s="144"/>
      <c r="I19" s="143"/>
      <c r="J19" s="144"/>
      <c r="K19" s="143"/>
      <c r="L19" s="144"/>
      <c r="M19" s="143"/>
      <c r="N19" s="343" t="s">
        <v>192</v>
      </c>
      <c r="O19" s="343" t="s">
        <v>63</v>
      </c>
      <c r="P19" s="143"/>
      <c r="Q19" s="331" t="s">
        <v>63</v>
      </c>
      <c r="R19" s="354"/>
      <c r="S19" s="355" t="s">
        <v>1093</v>
      </c>
      <c r="T19" s="143"/>
      <c r="U19" s="356" t="s">
        <v>1094</v>
      </c>
      <c r="V19" s="357"/>
      <c r="W19" s="356" t="s">
        <v>1133</v>
      </c>
      <c r="X19" s="143"/>
    </row>
    <row r="20" spans="1:26" s="146" customFormat="1" ht="150">
      <c r="B20" s="352" t="s">
        <v>1131</v>
      </c>
      <c r="C20" s="143"/>
      <c r="D20" s="321" t="s">
        <v>1134</v>
      </c>
      <c r="E20" s="143"/>
      <c r="F20" s="343" t="s">
        <v>1102</v>
      </c>
      <c r="G20" s="143"/>
      <c r="H20" s="144"/>
      <c r="I20" s="143"/>
      <c r="J20" s="144"/>
      <c r="K20" s="143"/>
      <c r="L20" s="358"/>
      <c r="M20" s="143"/>
      <c r="N20" s="343" t="s">
        <v>1135</v>
      </c>
      <c r="O20" s="343" t="s">
        <v>63</v>
      </c>
      <c r="P20" s="143"/>
      <c r="Q20" s="343" t="s">
        <v>63</v>
      </c>
      <c r="R20" s="143"/>
      <c r="S20" s="356" t="s">
        <v>1136</v>
      </c>
      <c r="T20" s="143"/>
      <c r="U20" s="343" t="s">
        <v>1137</v>
      </c>
      <c r="V20" s="359"/>
      <c r="W20" s="343" t="s">
        <v>1133</v>
      </c>
      <c r="X20" s="143"/>
    </row>
    <row r="21" spans="1:26" s="146" customFormat="1" ht="91.5" customHeight="1">
      <c r="B21" s="360"/>
      <c r="C21" s="143"/>
      <c r="D21" s="321" t="s">
        <v>1138</v>
      </c>
      <c r="E21" s="143"/>
      <c r="F21" s="343" t="s">
        <v>1139</v>
      </c>
      <c r="G21" s="143"/>
      <c r="H21" s="144"/>
      <c r="I21" s="143"/>
      <c r="J21" s="144"/>
      <c r="K21" s="143"/>
      <c r="L21" s="343"/>
      <c r="M21" s="143"/>
      <c r="N21" s="290" t="s">
        <v>145</v>
      </c>
      <c r="O21" s="343" t="s">
        <v>63</v>
      </c>
      <c r="P21" s="143"/>
      <c r="Q21" s="343" t="s">
        <v>63</v>
      </c>
      <c r="R21" s="143"/>
      <c r="S21" s="356" t="s">
        <v>1140</v>
      </c>
      <c r="T21" s="143"/>
      <c r="U21" s="343" t="s">
        <v>1111</v>
      </c>
      <c r="V21" s="359"/>
      <c r="W21" s="343" t="s">
        <v>1112</v>
      </c>
      <c r="X21" s="143"/>
    </row>
    <row r="22" spans="1:26" s="146" customFormat="1" ht="128.25" customHeight="1" thickBot="1">
      <c r="B22" s="361"/>
      <c r="C22" s="362"/>
      <c r="D22" s="363" t="s">
        <v>1141</v>
      </c>
      <c r="E22" s="362"/>
      <c r="F22" s="364"/>
      <c r="G22" s="362"/>
      <c r="H22" s="365" t="s">
        <v>1142</v>
      </c>
      <c r="I22" s="362"/>
      <c r="J22" s="366" t="s">
        <v>1143</v>
      </c>
      <c r="K22" s="362"/>
      <c r="L22" s="367" t="s">
        <v>1144</v>
      </c>
      <c r="M22" s="362"/>
      <c r="N22" s="366" t="s">
        <v>1145</v>
      </c>
      <c r="O22" s="366" t="s">
        <v>63</v>
      </c>
      <c r="P22" s="362"/>
      <c r="Q22" s="366" t="s">
        <v>63</v>
      </c>
      <c r="R22" s="362"/>
      <c r="S22" s="368"/>
      <c r="T22" s="362"/>
      <c r="U22" s="366" t="s">
        <v>1146</v>
      </c>
      <c r="V22" s="369"/>
      <c r="W22" s="343" t="s">
        <v>1112</v>
      </c>
      <c r="X22" s="143"/>
    </row>
    <row r="23" spans="1:26" s="146" customFormat="1" ht="27" customHeight="1">
      <c r="B23" s="370" t="s">
        <v>1147</v>
      </c>
      <c r="C23" s="345"/>
      <c r="D23" s="371" t="s">
        <v>1148</v>
      </c>
      <c r="E23" s="372"/>
      <c r="F23" s="372"/>
      <c r="G23" s="372"/>
      <c r="H23" s="372"/>
      <c r="I23" s="372"/>
      <c r="J23" s="372"/>
      <c r="K23" s="372"/>
      <c r="L23" s="372"/>
      <c r="M23" s="372"/>
      <c r="N23" s="372"/>
      <c r="O23" s="372"/>
      <c r="P23" s="372"/>
      <c r="Q23" s="372"/>
      <c r="R23" s="372"/>
      <c r="S23" s="373"/>
      <c r="T23" s="372"/>
      <c r="U23" s="372"/>
      <c r="V23" s="372"/>
      <c r="W23" s="374"/>
      <c r="X23" s="143"/>
    </row>
    <row r="24" spans="1:26" s="146" customFormat="1" ht="75">
      <c r="B24" s="358" t="s">
        <v>1147</v>
      </c>
      <c r="C24" s="143"/>
      <c r="D24" s="321" t="s">
        <v>1090</v>
      </c>
      <c r="E24" s="143"/>
      <c r="F24" s="357" t="s">
        <v>1132</v>
      </c>
      <c r="G24" s="143"/>
      <c r="H24" s="144"/>
      <c r="I24" s="143"/>
      <c r="J24" s="144"/>
      <c r="K24" s="143"/>
      <c r="L24" s="144"/>
      <c r="M24" s="143"/>
      <c r="N24" s="343" t="s">
        <v>192</v>
      </c>
      <c r="O24" s="343" t="s">
        <v>63</v>
      </c>
      <c r="P24" s="143"/>
      <c r="Q24" s="357" t="s">
        <v>63</v>
      </c>
      <c r="R24" s="143"/>
      <c r="S24" s="375" t="s">
        <v>1149</v>
      </c>
      <c r="T24" s="143"/>
      <c r="U24" s="356" t="s">
        <v>1094</v>
      </c>
      <c r="V24" s="143"/>
      <c r="W24" s="356" t="s">
        <v>1133</v>
      </c>
      <c r="X24" s="143"/>
    </row>
    <row r="25" spans="1:26" s="146" customFormat="1" ht="120" customHeight="1">
      <c r="B25" s="358" t="s">
        <v>1147</v>
      </c>
      <c r="C25" s="143"/>
      <c r="D25" s="321" t="s">
        <v>1150</v>
      </c>
      <c r="E25" s="143"/>
      <c r="F25" s="376" t="s">
        <v>1151</v>
      </c>
      <c r="G25" s="143"/>
      <c r="H25" s="144"/>
      <c r="I25" s="143"/>
      <c r="J25" s="144"/>
      <c r="K25" s="143"/>
      <c r="M25" s="143"/>
      <c r="N25" s="343" t="s">
        <v>1135</v>
      </c>
      <c r="O25" s="343" t="s">
        <v>63</v>
      </c>
      <c r="P25" s="143"/>
      <c r="Q25" s="357" t="s">
        <v>63</v>
      </c>
      <c r="R25" s="143"/>
      <c r="S25" s="356" t="s">
        <v>1152</v>
      </c>
      <c r="T25" s="143"/>
      <c r="U25" s="343" t="s">
        <v>1153</v>
      </c>
      <c r="V25" s="143"/>
      <c r="W25" s="356" t="s">
        <v>1133</v>
      </c>
      <c r="X25" s="143"/>
    </row>
    <row r="26" spans="1:26" ht="180">
      <c r="B26" s="358" t="s">
        <v>1147</v>
      </c>
      <c r="C26" s="143"/>
      <c r="D26" s="321" t="s">
        <v>1154</v>
      </c>
      <c r="E26" s="143"/>
      <c r="F26" s="376" t="s">
        <v>1155</v>
      </c>
      <c r="G26" s="143"/>
      <c r="H26" s="144"/>
      <c r="I26" s="143"/>
      <c r="J26" s="144"/>
      <c r="K26" s="143"/>
      <c r="L26" s="358"/>
      <c r="M26" s="143"/>
      <c r="N26" s="290" t="s">
        <v>145</v>
      </c>
      <c r="O26" s="343" t="s">
        <v>63</v>
      </c>
      <c r="P26" s="143"/>
      <c r="Q26" s="357" t="s">
        <v>63</v>
      </c>
      <c r="R26" s="143"/>
      <c r="S26" s="356" t="s">
        <v>1156</v>
      </c>
      <c r="T26" s="143"/>
      <c r="U26" s="377" t="s">
        <v>1157</v>
      </c>
      <c r="V26" s="143"/>
      <c r="W26" s="343" t="s">
        <v>1112</v>
      </c>
    </row>
    <row r="27" spans="1:26" s="146" customFormat="1" ht="186.75" customHeight="1">
      <c r="B27" s="358" t="s">
        <v>1147</v>
      </c>
      <c r="C27" s="143"/>
      <c r="D27" s="321" t="s">
        <v>1148</v>
      </c>
      <c r="E27" s="143"/>
      <c r="F27" s="376"/>
      <c r="G27" s="143"/>
      <c r="H27" s="358" t="s">
        <v>1158</v>
      </c>
      <c r="I27" s="378"/>
      <c r="J27" s="379" t="s">
        <v>1159</v>
      </c>
      <c r="K27" s="378"/>
      <c r="L27" s="380" t="s">
        <v>1160</v>
      </c>
      <c r="M27" s="143"/>
      <c r="N27" s="343" t="s">
        <v>1145</v>
      </c>
      <c r="O27" s="343" t="s">
        <v>63</v>
      </c>
      <c r="P27" s="143"/>
      <c r="Q27" s="357" t="s">
        <v>63</v>
      </c>
      <c r="R27" s="143"/>
      <c r="S27" s="379" t="s">
        <v>1161</v>
      </c>
      <c r="T27" s="143"/>
      <c r="U27" s="381" t="s">
        <v>1162</v>
      </c>
      <c r="V27" s="143"/>
      <c r="W27" s="343" t="s">
        <v>1112</v>
      </c>
      <c r="X27" s="143"/>
    </row>
    <row r="31" spans="1:26">
      <c r="F31" s="146"/>
    </row>
  </sheetData>
  <mergeCells count="16">
    <mergeCell ref="B2:X2"/>
    <mergeCell ref="H3:M3"/>
    <mergeCell ref="D5:W5"/>
    <mergeCell ref="B9:B11"/>
    <mergeCell ref="N9:W11"/>
    <mergeCell ref="D10:D11"/>
    <mergeCell ref="Q12:Q13"/>
    <mergeCell ref="S12:S13"/>
    <mergeCell ref="U12:U13"/>
    <mergeCell ref="W12:W13"/>
    <mergeCell ref="B12:B13"/>
    <mergeCell ref="D12:D13"/>
    <mergeCell ref="H12:H13"/>
    <mergeCell ref="J12:J13"/>
    <mergeCell ref="L12:L13"/>
    <mergeCell ref="O12:O13"/>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733A-E5E4-47A7-8B3E-69FD7C474661}">
  <dimension ref="B1:X699"/>
  <sheetViews>
    <sheetView showGridLines="0" topLeftCell="C1" zoomScale="55" zoomScaleNormal="55" workbookViewId="0">
      <pane ySplit="5" topLeftCell="A6" activePane="bottomLeft" state="frozen"/>
      <selection pane="bottomLeft" activeCell="N7" sqref="B2:X9"/>
    </sheetView>
  </sheetViews>
  <sheetFormatPr defaultRowHeight="15"/>
  <cols>
    <col min="1" max="1" width="2.42578125" customWidth="1"/>
    <col min="2" max="2" width="59.7109375" customWidth="1"/>
    <col min="3" max="3" width="44.5703125" customWidth="1"/>
    <col min="4" max="4" width="49" customWidth="1"/>
    <col min="5" max="5" width="23.85546875" bestFit="1" customWidth="1"/>
    <col min="6" max="6" width="21.140625" customWidth="1"/>
    <col min="7" max="7" width="34.140625" customWidth="1"/>
    <col min="8" max="8" width="19.7109375" customWidth="1"/>
    <col min="9" max="9" width="18.5703125" customWidth="1"/>
    <col min="10" max="10" width="22" customWidth="1"/>
    <col min="11" max="11" width="25.85546875" customWidth="1"/>
    <col min="12" max="12" width="26.7109375" customWidth="1"/>
    <col min="13" max="13" width="19.140625" customWidth="1"/>
    <col min="14" max="14" width="14.42578125" bestFit="1" customWidth="1"/>
    <col min="15" max="15" width="16.28515625" customWidth="1"/>
    <col min="16" max="16" width="20" customWidth="1"/>
    <col min="17" max="17" width="21.28515625" customWidth="1"/>
    <col min="18" max="18" width="28.140625" customWidth="1"/>
    <col min="19" max="19" width="52" customWidth="1"/>
    <col min="20" max="20" width="50.5703125" customWidth="1"/>
    <col min="21" max="21" width="40.28515625" customWidth="1"/>
    <col min="22" max="22" width="47.140625" customWidth="1"/>
    <col min="23" max="23" width="33.42578125" customWidth="1"/>
    <col min="24" max="24" width="30.7109375"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61.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29.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ustomHeight="1" thickBot="1">
      <c r="B5" s="658" t="s">
        <v>1163</v>
      </c>
      <c r="C5" s="659"/>
      <c r="D5" s="659"/>
      <c r="E5" s="659"/>
      <c r="F5" s="659"/>
      <c r="G5" s="659"/>
      <c r="H5" s="659"/>
      <c r="I5" s="659"/>
      <c r="J5" s="659"/>
      <c r="K5" s="659"/>
      <c r="L5" s="659"/>
      <c r="M5" s="660"/>
    </row>
    <row r="6" spans="2:24" ht="144" customHeight="1" thickBot="1">
      <c r="B6" s="382" t="s">
        <v>1893</v>
      </c>
      <c r="C6" s="382" t="s">
        <v>1894</v>
      </c>
      <c r="D6" s="383" t="s">
        <v>1164</v>
      </c>
      <c r="E6" s="384" t="s">
        <v>1165</v>
      </c>
      <c r="F6" s="384" t="s">
        <v>1166</v>
      </c>
      <c r="G6" s="384" t="s">
        <v>1167</v>
      </c>
      <c r="H6" s="384" t="s">
        <v>1168</v>
      </c>
      <c r="I6" s="384" t="s">
        <v>1168</v>
      </c>
      <c r="J6" s="384" t="s">
        <v>1168</v>
      </c>
      <c r="K6" s="384" t="s">
        <v>1168</v>
      </c>
      <c r="L6" s="384" t="s">
        <v>1168</v>
      </c>
      <c r="M6" s="384" t="s">
        <v>1168</v>
      </c>
      <c r="N6" s="385" t="s">
        <v>1169</v>
      </c>
      <c r="O6" s="385" t="s">
        <v>1170</v>
      </c>
      <c r="P6" s="385" t="s">
        <v>1171</v>
      </c>
      <c r="Q6" s="385" t="s">
        <v>1172</v>
      </c>
      <c r="R6" s="385" t="s">
        <v>1173</v>
      </c>
      <c r="S6" s="385" t="s">
        <v>1174</v>
      </c>
      <c r="T6" s="385" t="s">
        <v>1175</v>
      </c>
      <c r="U6" s="385" t="s">
        <v>1176</v>
      </c>
      <c r="V6" s="385" t="s">
        <v>1177</v>
      </c>
      <c r="W6" s="385" t="s">
        <v>1178</v>
      </c>
      <c r="X6" s="385" t="s">
        <v>1179</v>
      </c>
    </row>
    <row r="7" spans="2:24" ht="372" customHeight="1" thickBot="1">
      <c r="B7" s="382" t="s">
        <v>1893</v>
      </c>
      <c r="C7" s="382" t="s">
        <v>1894</v>
      </c>
      <c r="D7" s="383" t="s">
        <v>1180</v>
      </c>
      <c r="E7" s="386"/>
      <c r="F7" s="384" t="s">
        <v>1168</v>
      </c>
      <c r="G7" s="384" t="s">
        <v>1168</v>
      </c>
      <c r="H7" s="384" t="s">
        <v>778</v>
      </c>
      <c r="I7" s="384" t="s">
        <v>1181</v>
      </c>
      <c r="J7" s="384">
        <v>0</v>
      </c>
      <c r="K7" s="384">
        <v>0</v>
      </c>
      <c r="L7" s="384">
        <v>40</v>
      </c>
      <c r="M7" s="384">
        <v>40</v>
      </c>
      <c r="N7" s="385" t="s">
        <v>1182</v>
      </c>
      <c r="O7" s="387" t="s">
        <v>1183</v>
      </c>
      <c r="P7" s="385" t="s">
        <v>1184</v>
      </c>
      <c r="Q7" s="385" t="s">
        <v>1172</v>
      </c>
      <c r="R7" s="385" t="s">
        <v>1173</v>
      </c>
      <c r="S7" s="385" t="s">
        <v>1185</v>
      </c>
      <c r="T7" s="385"/>
      <c r="U7" s="385" t="s">
        <v>1186</v>
      </c>
      <c r="V7" s="385" t="s">
        <v>1187</v>
      </c>
      <c r="W7" s="385" t="s">
        <v>1188</v>
      </c>
      <c r="X7" s="385" t="s">
        <v>1189</v>
      </c>
    </row>
    <row r="8" spans="2:24" ht="109.5" customHeight="1" thickBot="1">
      <c r="B8" s="382" t="s">
        <v>1895</v>
      </c>
      <c r="C8" s="382" t="s">
        <v>1896</v>
      </c>
      <c r="D8" s="382" t="s">
        <v>1190</v>
      </c>
      <c r="E8" s="384" t="s">
        <v>1191</v>
      </c>
      <c r="F8" s="384" t="s">
        <v>1166</v>
      </c>
      <c r="G8" s="384" t="s">
        <v>1167</v>
      </c>
      <c r="H8" s="384" t="s">
        <v>1168</v>
      </c>
      <c r="I8" s="384" t="s">
        <v>1168</v>
      </c>
      <c r="J8" s="384" t="s">
        <v>1168</v>
      </c>
      <c r="K8" s="384" t="s">
        <v>1168</v>
      </c>
      <c r="L8" s="384" t="s">
        <v>1168</v>
      </c>
      <c r="M8" s="384" t="s">
        <v>1168</v>
      </c>
      <c r="N8" s="385" t="s">
        <v>127</v>
      </c>
      <c r="O8" s="387" t="s">
        <v>1192</v>
      </c>
      <c r="P8" s="385" t="s">
        <v>1193</v>
      </c>
      <c r="Q8" s="385" t="s">
        <v>1194</v>
      </c>
      <c r="R8" s="385" t="s">
        <v>1195</v>
      </c>
      <c r="S8" s="385" t="s">
        <v>1196</v>
      </c>
      <c r="T8" s="385" t="s">
        <v>1175</v>
      </c>
      <c r="U8" s="385" t="s">
        <v>1176</v>
      </c>
      <c r="V8" s="385" t="s">
        <v>1177</v>
      </c>
      <c r="W8" s="385" t="s">
        <v>1178</v>
      </c>
      <c r="X8" s="385" t="s">
        <v>1179</v>
      </c>
    </row>
    <row r="9" spans="2:24" ht="288.75" customHeight="1" thickBot="1">
      <c r="B9" s="382" t="s">
        <v>1897</v>
      </c>
      <c r="C9" s="382" t="s">
        <v>1897</v>
      </c>
      <c r="D9" s="382" t="s">
        <v>1197</v>
      </c>
      <c r="E9" s="386"/>
      <c r="F9" s="384" t="s">
        <v>1168</v>
      </c>
      <c r="G9" s="384" t="s">
        <v>1168</v>
      </c>
      <c r="H9" s="384" t="s">
        <v>778</v>
      </c>
      <c r="I9" s="384" t="s">
        <v>1181</v>
      </c>
      <c r="J9" s="384">
        <v>0</v>
      </c>
      <c r="K9" s="384">
        <v>0</v>
      </c>
      <c r="L9" s="384">
        <v>140</v>
      </c>
      <c r="M9" s="384">
        <v>140</v>
      </c>
      <c r="N9" s="385" t="s">
        <v>145</v>
      </c>
      <c r="O9" s="387" t="s">
        <v>1192</v>
      </c>
      <c r="P9" s="385" t="s">
        <v>1198</v>
      </c>
      <c r="Q9" s="385" t="s">
        <v>1199</v>
      </c>
      <c r="R9" s="385" t="s">
        <v>1200</v>
      </c>
      <c r="S9" s="385" t="s">
        <v>1201</v>
      </c>
      <c r="T9" s="385"/>
      <c r="U9" s="385" t="s">
        <v>1202</v>
      </c>
      <c r="V9" s="385" t="s">
        <v>1203</v>
      </c>
      <c r="W9" s="385" t="s">
        <v>1204</v>
      </c>
      <c r="X9" s="385" t="s">
        <v>1205</v>
      </c>
    </row>
    <row r="10" spans="2:24" s="146" customFormat="1"/>
    <row r="11" spans="2:24" s="146" customFormat="1" ht="15.75">
      <c r="R11" s="388"/>
      <c r="S11" s="217"/>
      <c r="T11" s="388"/>
    </row>
    <row r="12" spans="2:24" s="146" customFormat="1"/>
    <row r="13" spans="2:24" s="146" customFormat="1"/>
    <row r="14" spans="2:24" s="146" customFormat="1"/>
    <row r="15" spans="2:24" s="146" customFormat="1"/>
    <row r="16" spans="2:24" s="146" customFormat="1"/>
    <row r="17" spans="2:2" s="146" customFormat="1"/>
    <row r="18" spans="2:2" s="146" customFormat="1"/>
    <row r="19" spans="2:2" s="146" customFormat="1"/>
    <row r="20" spans="2:2" s="146" customFormat="1"/>
    <row r="21" spans="2:2" s="146" customFormat="1"/>
    <row r="22" spans="2:2" s="146" customFormat="1"/>
    <row r="23" spans="2:2" s="146" customFormat="1"/>
    <row r="24" spans="2:2" s="146" customFormat="1"/>
    <row r="25" spans="2:2" s="146" customFormat="1"/>
    <row r="26" spans="2:2" s="146" customFormat="1"/>
    <row r="27" spans="2:2" s="146" customFormat="1"/>
    <row r="28" spans="2:2" s="146" customFormat="1"/>
    <row r="29" spans="2:2" s="146" customFormat="1">
      <c r="B29"/>
    </row>
    <row r="183" ht="57.95" customHeight="1"/>
    <row r="237" ht="81.95" customHeight="1"/>
    <row r="272" ht="53.45" customHeight="1"/>
    <row r="273" ht="50.45" customHeight="1"/>
    <row r="284" ht="42.6" customHeight="1"/>
    <row r="285" ht="48.95" customHeight="1"/>
    <row r="286" ht="51.6" customHeight="1"/>
    <row r="287" ht="48.95" customHeight="1"/>
    <row r="301" ht="60.6" customHeight="1"/>
    <row r="685" ht="101.45" customHeight="1"/>
    <row r="686" ht="89.45" customHeight="1"/>
    <row r="687" ht="96.95" customHeight="1"/>
    <row r="688" ht="45.95" customHeight="1"/>
    <row r="689" ht="75" customHeight="1"/>
    <row r="690" ht="363.6" customHeight="1"/>
    <row r="691" ht="70.5" customHeight="1"/>
    <row r="692" ht="68.099999999999994" customHeight="1"/>
    <row r="693" ht="188.1" customHeight="1"/>
    <row r="694" ht="405.75" customHeight="1"/>
    <row r="695" ht="134.44999999999999" customHeight="1"/>
    <row r="696" ht="167.1" customHeight="1"/>
    <row r="697" ht="51" customHeight="1"/>
    <row r="698" ht="60.6" customHeight="1"/>
    <row r="699" ht="108" customHeight="1"/>
  </sheetData>
  <mergeCells count="3">
    <mergeCell ref="B2:X2"/>
    <mergeCell ref="H3:M3"/>
    <mergeCell ref="B5:M5"/>
  </mergeCells>
  <pageMargins left="0.7" right="0.7" top="0.75" bottom="0.75" header="0.3" footer="0.3"/>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EB90-4EE5-41C7-AA56-ACA997597360}">
  <dimension ref="A1:X704"/>
  <sheetViews>
    <sheetView showGridLines="0" zoomScale="50" zoomScaleNormal="50" workbookViewId="0">
      <selection activeCell="W21" sqref="W21:X21"/>
    </sheetView>
  </sheetViews>
  <sheetFormatPr defaultColWidth="9.140625" defaultRowHeight="15.75"/>
  <cols>
    <col min="1" max="1" width="2.42578125" style="389" customWidth="1"/>
    <col min="2" max="2" width="52.7109375" style="389" customWidth="1"/>
    <col min="3" max="3" width="53.5703125" style="395" customWidth="1"/>
    <col min="4" max="4" width="88.140625" style="389" customWidth="1"/>
    <col min="5" max="5" width="45" style="389" customWidth="1"/>
    <col min="6" max="6" width="39.42578125" style="389" customWidth="1"/>
    <col min="7" max="7" width="43.5703125" style="389" customWidth="1"/>
    <col min="8" max="8" width="17.28515625" style="389" customWidth="1"/>
    <col min="9" max="9" width="18.7109375" style="389" customWidth="1"/>
    <col min="10" max="10" width="13.7109375" style="389" customWidth="1"/>
    <col min="11" max="11" width="10.5703125" style="389" customWidth="1"/>
    <col min="12" max="12" width="12.28515625" style="389" customWidth="1"/>
    <col min="13" max="13" width="15.28515625" style="389" customWidth="1"/>
    <col min="14" max="14" width="15" style="394" customWidth="1"/>
    <col min="15" max="15" width="19.85546875" style="389" customWidth="1"/>
    <col min="16" max="16" width="18.5703125" style="395" customWidth="1"/>
    <col min="17" max="17" width="17.28515625" style="389" customWidth="1"/>
    <col min="18" max="18" width="53" style="389" customWidth="1"/>
    <col min="19" max="19" width="86.5703125" style="389" customWidth="1"/>
    <col min="20" max="20" width="52.5703125" style="395" customWidth="1"/>
    <col min="21" max="21" width="25.5703125" style="395" customWidth="1"/>
    <col min="22" max="22" width="22.42578125" style="395" customWidth="1"/>
    <col min="23" max="23" width="24.42578125" style="389" customWidth="1"/>
    <col min="24" max="24" width="19.7109375" style="395" customWidth="1"/>
    <col min="25" max="16384" width="9.140625" style="389"/>
  </cols>
  <sheetData>
    <row r="1" spans="1:24" ht="16.5" thickBot="1"/>
    <row r="2" spans="1:24" ht="16.5" thickBot="1">
      <c r="B2" s="662" t="s">
        <v>0</v>
      </c>
      <c r="C2" s="663"/>
      <c r="D2" s="663"/>
      <c r="E2" s="663"/>
      <c r="F2" s="663"/>
      <c r="G2" s="663"/>
      <c r="H2" s="663"/>
      <c r="I2" s="663"/>
      <c r="J2" s="663"/>
      <c r="K2" s="663"/>
      <c r="L2" s="663"/>
      <c r="M2" s="663"/>
      <c r="N2" s="663"/>
      <c r="O2" s="663"/>
      <c r="P2" s="663"/>
      <c r="Q2" s="663"/>
      <c r="R2" s="663"/>
      <c r="S2" s="663"/>
      <c r="T2" s="663"/>
      <c r="U2" s="663"/>
      <c r="V2" s="663"/>
      <c r="W2" s="663"/>
      <c r="X2" s="664"/>
    </row>
    <row r="3" spans="1:24" ht="88.5" customHeight="1" thickBot="1">
      <c r="B3" s="114" t="s">
        <v>1</v>
      </c>
      <c r="C3" s="87" t="s">
        <v>2</v>
      </c>
      <c r="D3" s="114" t="s">
        <v>3</v>
      </c>
      <c r="E3" s="87" t="s">
        <v>4</v>
      </c>
      <c r="F3" s="88" t="s">
        <v>5</v>
      </c>
      <c r="G3" s="115" t="s">
        <v>6</v>
      </c>
      <c r="H3" s="623" t="s">
        <v>7</v>
      </c>
      <c r="I3" s="624"/>
      <c r="J3" s="624"/>
      <c r="K3" s="624"/>
      <c r="L3" s="624"/>
      <c r="M3" s="625"/>
      <c r="N3" s="114" t="s">
        <v>8</v>
      </c>
      <c r="O3" s="116" t="s">
        <v>9</v>
      </c>
      <c r="P3" s="87" t="s">
        <v>10</v>
      </c>
      <c r="Q3" s="116" t="s">
        <v>11</v>
      </c>
      <c r="R3" s="87" t="s">
        <v>12</v>
      </c>
      <c r="S3" s="116" t="s">
        <v>13</v>
      </c>
      <c r="T3" s="87" t="s">
        <v>14</v>
      </c>
      <c r="U3" s="116" t="s">
        <v>15</v>
      </c>
      <c r="V3" s="87" t="s">
        <v>16</v>
      </c>
      <c r="W3" s="117" t="s">
        <v>17</v>
      </c>
      <c r="X3" s="115" t="s">
        <v>18</v>
      </c>
    </row>
    <row r="4" spans="1:24" ht="29.25" customHeight="1" thickBot="1">
      <c r="B4" s="390"/>
      <c r="C4" s="391"/>
      <c r="D4" s="392"/>
      <c r="E4" s="391"/>
      <c r="F4" s="391"/>
      <c r="G4" s="391"/>
      <c r="H4" s="119" t="s">
        <v>19</v>
      </c>
      <c r="I4" s="97" t="s">
        <v>20</v>
      </c>
      <c r="J4" s="119" t="s">
        <v>21</v>
      </c>
      <c r="K4" s="97" t="s">
        <v>22</v>
      </c>
      <c r="L4" s="119" t="s">
        <v>23</v>
      </c>
      <c r="M4" s="97" t="s">
        <v>24</v>
      </c>
      <c r="N4" s="121"/>
      <c r="O4" s="391"/>
      <c r="P4" s="391"/>
      <c r="Q4" s="391"/>
      <c r="R4" s="391"/>
      <c r="S4" s="391"/>
      <c r="T4" s="393"/>
      <c r="U4" s="391"/>
      <c r="V4" s="391"/>
      <c r="W4" s="391"/>
      <c r="X4" s="391"/>
    </row>
    <row r="5" spans="1:24" ht="15.75" customHeight="1">
      <c r="B5" s="665" t="s">
        <v>1206</v>
      </c>
      <c r="C5" s="666"/>
      <c r="D5" s="666"/>
      <c r="E5" s="666"/>
      <c r="F5" s="666"/>
      <c r="G5" s="666"/>
      <c r="H5" s="666"/>
      <c r="I5" s="666"/>
      <c r="J5" s="666"/>
      <c r="K5" s="666"/>
      <c r="L5" s="666"/>
      <c r="M5" s="667"/>
    </row>
    <row r="6" spans="1:24" s="668" customFormat="1" ht="15.75" customHeight="1">
      <c r="A6" s="668" t="s">
        <v>1207</v>
      </c>
    </row>
    <row r="7" spans="1:24" s="128" customFormat="1" ht="168.95" customHeight="1">
      <c r="B7" s="128" t="s">
        <v>1208</v>
      </c>
      <c r="C7" s="128" t="s">
        <v>1209</v>
      </c>
      <c r="D7" s="128" t="s">
        <v>1210</v>
      </c>
      <c r="F7" s="128" t="s">
        <v>1211</v>
      </c>
      <c r="H7" s="132"/>
      <c r="I7" s="132"/>
      <c r="J7" s="132"/>
      <c r="K7" s="132"/>
      <c r="L7" s="132"/>
      <c r="M7" s="132"/>
      <c r="N7" s="396" t="s">
        <v>213</v>
      </c>
      <c r="Q7" s="128" t="s">
        <v>1212</v>
      </c>
      <c r="R7" s="131" t="s">
        <v>1213</v>
      </c>
      <c r="S7" s="128" t="s">
        <v>1214</v>
      </c>
      <c r="T7" s="128" t="s">
        <v>1215</v>
      </c>
      <c r="U7" s="128" t="s">
        <v>1216</v>
      </c>
      <c r="V7" s="128" t="s">
        <v>1217</v>
      </c>
      <c r="W7" s="128" t="s">
        <v>1218</v>
      </c>
      <c r="X7" s="131" t="s">
        <v>1219</v>
      </c>
    </row>
    <row r="8" spans="1:24" s="110" customFormat="1" ht="111.6" customHeight="1">
      <c r="B8" s="128" t="s">
        <v>1208</v>
      </c>
      <c r="C8" s="128" t="s">
        <v>1209</v>
      </c>
      <c r="D8" s="397" t="s">
        <v>1220</v>
      </c>
      <c r="F8" s="111" t="s">
        <v>1221</v>
      </c>
      <c r="N8" s="398" t="s">
        <v>231</v>
      </c>
      <c r="P8" s="111"/>
      <c r="Q8" s="128" t="s">
        <v>1212</v>
      </c>
      <c r="R8" s="131" t="s">
        <v>1213</v>
      </c>
      <c r="S8" s="111" t="s">
        <v>1222</v>
      </c>
      <c r="T8" s="111"/>
      <c r="U8" s="128" t="s">
        <v>1223</v>
      </c>
      <c r="V8" s="128" t="s">
        <v>1217</v>
      </c>
      <c r="W8" s="128" t="s">
        <v>1218</v>
      </c>
      <c r="X8" s="131" t="s">
        <v>1219</v>
      </c>
    </row>
    <row r="9" spans="1:24" s="110" customFormat="1" ht="103.5" customHeight="1">
      <c r="B9" s="128" t="s">
        <v>1208</v>
      </c>
      <c r="C9" s="128" t="s">
        <v>1209</v>
      </c>
      <c r="D9" s="111" t="s">
        <v>1224</v>
      </c>
      <c r="F9" s="111" t="s">
        <v>1225</v>
      </c>
      <c r="N9" s="398" t="s">
        <v>231</v>
      </c>
      <c r="P9" s="111"/>
      <c r="Q9" s="128" t="s">
        <v>1212</v>
      </c>
      <c r="R9" s="131" t="s">
        <v>1213</v>
      </c>
      <c r="S9" s="111" t="s">
        <v>1226</v>
      </c>
      <c r="T9" s="111"/>
      <c r="U9" s="128" t="s">
        <v>1223</v>
      </c>
      <c r="V9" s="128" t="s">
        <v>1217</v>
      </c>
      <c r="W9" s="128" t="s">
        <v>1218</v>
      </c>
      <c r="X9" s="131" t="s">
        <v>1219</v>
      </c>
    </row>
    <row r="10" spans="1:24" s="669" customFormat="1" ht="21.75" customHeight="1">
      <c r="A10" s="669" t="s">
        <v>1227</v>
      </c>
    </row>
    <row r="11" spans="1:24" s="161" customFormat="1" ht="110.25">
      <c r="B11" s="131" t="s">
        <v>1228</v>
      </c>
      <c r="C11" s="399" t="s">
        <v>1229</v>
      </c>
      <c r="D11" s="396" t="s">
        <v>1230</v>
      </c>
      <c r="E11" s="128"/>
      <c r="F11" s="128" t="s">
        <v>1231</v>
      </c>
      <c r="G11" s="128" t="s">
        <v>1232</v>
      </c>
      <c r="H11" s="132" t="s">
        <v>28</v>
      </c>
      <c r="I11" s="132" t="s">
        <v>28</v>
      </c>
      <c r="J11" s="132" t="s">
        <v>28</v>
      </c>
      <c r="K11" s="132" t="s">
        <v>28</v>
      </c>
      <c r="L11" s="132" t="s">
        <v>28</v>
      </c>
      <c r="M11" s="132" t="s">
        <v>28</v>
      </c>
      <c r="N11" s="396" t="s">
        <v>1233</v>
      </c>
      <c r="O11" s="131" t="s">
        <v>1234</v>
      </c>
      <c r="P11" s="131" t="s">
        <v>1235</v>
      </c>
      <c r="Q11" s="131" t="s">
        <v>1212</v>
      </c>
      <c r="R11" s="131" t="s">
        <v>1213</v>
      </c>
      <c r="S11" s="131" t="s">
        <v>1236</v>
      </c>
      <c r="T11" s="131" t="s">
        <v>1237</v>
      </c>
      <c r="U11" s="131" t="s">
        <v>1238</v>
      </c>
      <c r="V11" s="131" t="s">
        <v>1239</v>
      </c>
      <c r="W11" s="131" t="s">
        <v>1240</v>
      </c>
      <c r="X11" s="131" t="s">
        <v>1241</v>
      </c>
    </row>
    <row r="12" spans="1:24" s="400" customFormat="1" ht="127.5" customHeight="1">
      <c r="B12" s="131" t="s">
        <v>1228</v>
      </c>
      <c r="C12" s="399" t="s">
        <v>1229</v>
      </c>
      <c r="D12" s="131" t="s">
        <v>1242</v>
      </c>
      <c r="E12" s="401"/>
      <c r="F12" s="131" t="s">
        <v>1243</v>
      </c>
      <c r="G12" s="131"/>
      <c r="H12" s="132" t="s">
        <v>28</v>
      </c>
      <c r="I12" s="132" t="s">
        <v>28</v>
      </c>
      <c r="J12" s="132" t="s">
        <v>28</v>
      </c>
      <c r="K12" s="132" t="s">
        <v>28</v>
      </c>
      <c r="L12" s="132" t="s">
        <v>28</v>
      </c>
      <c r="M12" s="132" t="s">
        <v>28</v>
      </c>
      <c r="N12" s="402" t="s">
        <v>1244</v>
      </c>
      <c r="O12" s="131" t="s">
        <v>1245</v>
      </c>
      <c r="P12" s="131" t="s">
        <v>1246</v>
      </c>
      <c r="Q12" s="131" t="s">
        <v>1212</v>
      </c>
      <c r="R12" s="131" t="s">
        <v>1213</v>
      </c>
      <c r="S12" s="131" t="s">
        <v>1247</v>
      </c>
      <c r="T12" s="131"/>
      <c r="U12" s="131" t="s">
        <v>1248</v>
      </c>
      <c r="V12" s="131" t="s">
        <v>1249</v>
      </c>
      <c r="W12" s="131" t="s">
        <v>1250</v>
      </c>
      <c r="X12" s="131" t="s">
        <v>1251</v>
      </c>
    </row>
    <row r="13" spans="1:24" s="403" customFormat="1" ht="187.5" customHeight="1">
      <c r="B13" s="131" t="s">
        <v>1228</v>
      </c>
      <c r="C13" s="399" t="s">
        <v>1229</v>
      </c>
      <c r="D13" s="402" t="s">
        <v>1252</v>
      </c>
      <c r="E13" s="131"/>
      <c r="F13" s="132" t="s">
        <v>1253</v>
      </c>
      <c r="G13" s="132" t="s">
        <v>28</v>
      </c>
      <c r="H13" s="131" t="s">
        <v>1254</v>
      </c>
      <c r="I13" s="131"/>
      <c r="J13" s="131">
        <v>0</v>
      </c>
      <c r="K13" s="131">
        <v>0</v>
      </c>
      <c r="L13" s="131">
        <v>4000</v>
      </c>
      <c r="M13" s="131">
        <v>4000</v>
      </c>
      <c r="N13" s="402" t="s">
        <v>1255</v>
      </c>
      <c r="O13" s="131" t="s">
        <v>1256</v>
      </c>
      <c r="P13" s="131"/>
      <c r="Q13" s="131" t="s">
        <v>1212</v>
      </c>
      <c r="R13" s="131" t="s">
        <v>1213</v>
      </c>
      <c r="S13" s="131" t="s">
        <v>1257</v>
      </c>
      <c r="T13" s="131"/>
      <c r="U13" s="131" t="s">
        <v>1258</v>
      </c>
      <c r="V13" s="131"/>
      <c r="W13" s="131" t="s">
        <v>1259</v>
      </c>
      <c r="X13" s="131" t="s">
        <v>1260</v>
      </c>
    </row>
    <row r="14" spans="1:24" s="661" customFormat="1" ht="22.5" customHeight="1">
      <c r="A14" s="661" t="s">
        <v>1261</v>
      </c>
    </row>
    <row r="15" spans="1:24" s="161" customFormat="1" ht="123.75" customHeight="1">
      <c r="B15" s="131" t="s">
        <v>1262</v>
      </c>
      <c r="C15" s="131" t="s">
        <v>1263</v>
      </c>
      <c r="D15" s="402" t="s">
        <v>1264</v>
      </c>
      <c r="E15" s="131"/>
      <c r="F15" s="131" t="s">
        <v>1265</v>
      </c>
      <c r="G15" s="131"/>
      <c r="H15" s="132"/>
      <c r="I15" s="132"/>
      <c r="J15" s="132"/>
      <c r="K15" s="132"/>
      <c r="L15" s="132"/>
      <c r="M15" s="132"/>
      <c r="N15" s="402" t="s">
        <v>1266</v>
      </c>
      <c r="O15" s="131" t="s">
        <v>1267</v>
      </c>
      <c r="P15" s="131"/>
      <c r="R15" s="131"/>
      <c r="S15" s="131" t="s">
        <v>1268</v>
      </c>
      <c r="T15" s="131"/>
      <c r="U15" s="131" t="s">
        <v>1269</v>
      </c>
      <c r="V15" s="131"/>
      <c r="X15" s="131"/>
    </row>
    <row r="16" spans="1:24" s="161" customFormat="1" ht="153.75" customHeight="1">
      <c r="B16" s="131" t="s">
        <v>1262</v>
      </c>
      <c r="C16" s="131" t="s">
        <v>1263</v>
      </c>
      <c r="D16" s="131" t="s">
        <v>1270</v>
      </c>
      <c r="E16" s="131"/>
      <c r="F16" s="131" t="s">
        <v>1271</v>
      </c>
      <c r="G16" s="131" t="s">
        <v>1272</v>
      </c>
      <c r="H16" s="132" t="s">
        <v>28</v>
      </c>
      <c r="I16" s="132" t="s">
        <v>28</v>
      </c>
      <c r="J16" s="132" t="s">
        <v>28</v>
      </c>
      <c r="K16" s="132" t="s">
        <v>28</v>
      </c>
      <c r="L16" s="132" t="s">
        <v>28</v>
      </c>
      <c r="M16" s="132" t="s">
        <v>28</v>
      </c>
      <c r="N16" s="402" t="s">
        <v>1244</v>
      </c>
      <c r="O16" s="131" t="s">
        <v>1273</v>
      </c>
      <c r="P16" s="131" t="s">
        <v>1274</v>
      </c>
      <c r="Q16" s="131" t="s">
        <v>1212</v>
      </c>
      <c r="R16" s="131" t="s">
        <v>1213</v>
      </c>
      <c r="S16" s="131" t="s">
        <v>1275</v>
      </c>
      <c r="T16" s="131" t="s">
        <v>1276</v>
      </c>
      <c r="U16" s="131" t="s">
        <v>1277</v>
      </c>
      <c r="V16" s="131" t="s">
        <v>1278</v>
      </c>
      <c r="W16" s="131" t="s">
        <v>1250</v>
      </c>
      <c r="X16" s="131" t="s">
        <v>1251</v>
      </c>
    </row>
    <row r="17" spans="1:24" s="161" customFormat="1" ht="126.95" customHeight="1">
      <c r="B17" s="131" t="s">
        <v>1262</v>
      </c>
      <c r="C17" s="131" t="s">
        <v>1263</v>
      </c>
      <c r="D17" s="402" t="s">
        <v>1279</v>
      </c>
      <c r="E17" s="131"/>
      <c r="F17" s="131" t="s">
        <v>1280</v>
      </c>
      <c r="G17" s="131"/>
      <c r="H17" s="132"/>
      <c r="I17" s="132"/>
      <c r="J17" s="132"/>
      <c r="K17" s="132"/>
      <c r="L17" s="132"/>
      <c r="M17" s="132"/>
      <c r="N17" s="402" t="s">
        <v>1281</v>
      </c>
      <c r="O17" s="131" t="s">
        <v>1282</v>
      </c>
      <c r="P17" s="131"/>
      <c r="Q17" s="131"/>
      <c r="R17" s="131"/>
      <c r="S17" s="131" t="s">
        <v>1283</v>
      </c>
      <c r="T17" s="131"/>
      <c r="U17" s="131" t="s">
        <v>1284</v>
      </c>
      <c r="V17" s="131" t="s">
        <v>1285</v>
      </c>
      <c r="W17" s="131" t="s">
        <v>1286</v>
      </c>
      <c r="X17" s="131" t="s">
        <v>1287</v>
      </c>
    </row>
    <row r="18" spans="1:24" s="161" customFormat="1" ht="150.94999999999999" customHeight="1">
      <c r="B18" s="131" t="s">
        <v>1262</v>
      </c>
      <c r="C18" s="131" t="s">
        <v>1263</v>
      </c>
      <c r="D18" s="402" t="s">
        <v>1288</v>
      </c>
      <c r="E18" s="131" t="s">
        <v>1289</v>
      </c>
      <c r="F18" s="132" t="s">
        <v>28</v>
      </c>
      <c r="G18" s="132" t="s">
        <v>28</v>
      </c>
      <c r="H18" s="131" t="s">
        <v>1290</v>
      </c>
      <c r="I18" s="131" t="s">
        <v>1291</v>
      </c>
      <c r="J18" s="131">
        <v>0</v>
      </c>
      <c r="K18" s="131">
        <v>0</v>
      </c>
      <c r="L18" s="131">
        <v>80</v>
      </c>
      <c r="M18" s="131">
        <v>80</v>
      </c>
      <c r="N18" s="402" t="s">
        <v>1281</v>
      </c>
      <c r="O18" s="131" t="s">
        <v>1292</v>
      </c>
      <c r="P18" s="131" t="s">
        <v>1293</v>
      </c>
      <c r="Q18" s="161" t="s">
        <v>1212</v>
      </c>
      <c r="R18" s="131" t="s">
        <v>1213</v>
      </c>
      <c r="S18" s="131" t="s">
        <v>1294</v>
      </c>
      <c r="T18" s="131" t="s">
        <v>1295</v>
      </c>
      <c r="U18" s="131" t="s">
        <v>1296</v>
      </c>
      <c r="V18" s="131" t="s">
        <v>1297</v>
      </c>
      <c r="W18" s="131" t="s">
        <v>1298</v>
      </c>
      <c r="X18" s="131" t="s">
        <v>1299</v>
      </c>
    </row>
    <row r="19" spans="1:24" s="404" customFormat="1" ht="110.25">
      <c r="B19" s="131" t="s">
        <v>1262</v>
      </c>
      <c r="C19" s="131" t="s">
        <v>1263</v>
      </c>
      <c r="D19" s="396" t="s">
        <v>1300</v>
      </c>
      <c r="E19" s="405" t="s">
        <v>1301</v>
      </c>
      <c r="F19" s="174" t="s">
        <v>28</v>
      </c>
      <c r="G19" s="174" t="s">
        <v>28</v>
      </c>
      <c r="H19" s="128" t="s">
        <v>1302</v>
      </c>
      <c r="I19" s="128" t="s">
        <v>1303</v>
      </c>
      <c r="J19" s="128">
        <v>0</v>
      </c>
      <c r="K19" s="128">
        <v>0</v>
      </c>
      <c r="L19" s="128">
        <v>4979</v>
      </c>
      <c r="M19" s="128">
        <v>4979</v>
      </c>
      <c r="N19" s="396" t="s">
        <v>1233</v>
      </c>
      <c r="O19" s="131" t="s">
        <v>1292</v>
      </c>
      <c r="P19" s="131" t="s">
        <v>1293</v>
      </c>
      <c r="Q19" s="131" t="s">
        <v>1212</v>
      </c>
      <c r="R19" s="131" t="s">
        <v>1213</v>
      </c>
      <c r="S19" s="131" t="s">
        <v>1304</v>
      </c>
      <c r="T19" s="131" t="s">
        <v>1305</v>
      </c>
      <c r="U19" s="131" t="s">
        <v>1306</v>
      </c>
      <c r="V19" s="131" t="s">
        <v>1307</v>
      </c>
      <c r="W19" s="131" t="s">
        <v>1218</v>
      </c>
      <c r="X19" s="131" t="s">
        <v>1219</v>
      </c>
    </row>
    <row r="20" spans="1:24" s="403" customFormat="1" ht="129.6" customHeight="1">
      <c r="A20" s="161"/>
      <c r="B20" s="131" t="s">
        <v>1262</v>
      </c>
      <c r="C20" s="131" t="s">
        <v>1263</v>
      </c>
      <c r="D20" s="110" t="s">
        <v>1308</v>
      </c>
      <c r="E20" s="131"/>
      <c r="F20" s="132" t="s">
        <v>1309</v>
      </c>
      <c r="G20" s="132"/>
      <c r="H20" s="131"/>
      <c r="I20" s="131"/>
      <c r="J20" s="131"/>
      <c r="K20" s="131"/>
      <c r="L20" s="131"/>
      <c r="M20" s="131"/>
      <c r="N20" s="402" t="s">
        <v>1244</v>
      </c>
      <c r="O20" s="131"/>
      <c r="P20" s="131"/>
      <c r="Q20" s="131" t="s">
        <v>1212</v>
      </c>
      <c r="R20" s="131" t="s">
        <v>1213</v>
      </c>
      <c r="S20" s="132" t="s">
        <v>1310</v>
      </c>
      <c r="T20" s="131"/>
      <c r="U20" s="131" t="s">
        <v>1311</v>
      </c>
      <c r="V20" s="131" t="s">
        <v>1312</v>
      </c>
      <c r="W20" s="406"/>
      <c r="X20" s="406"/>
    </row>
    <row r="21" spans="1:24" ht="158.44999999999999" customHeight="1">
      <c r="A21" s="110"/>
      <c r="B21" s="131" t="s">
        <v>1262</v>
      </c>
      <c r="C21" s="131" t="s">
        <v>1263</v>
      </c>
      <c r="D21" s="407" t="s">
        <v>1313</v>
      </c>
      <c r="E21" s="110"/>
      <c r="F21" s="110"/>
      <c r="G21" s="110"/>
      <c r="H21" s="111" t="s">
        <v>1302</v>
      </c>
      <c r="I21" s="110"/>
      <c r="J21" s="110"/>
      <c r="K21" s="110"/>
      <c r="L21" s="110">
        <v>1120</v>
      </c>
      <c r="M21" s="110">
        <v>1120</v>
      </c>
      <c r="N21" s="398" t="s">
        <v>1255</v>
      </c>
      <c r="O21" s="111" t="s">
        <v>1314</v>
      </c>
      <c r="P21" s="111"/>
      <c r="Q21" s="131" t="s">
        <v>1212</v>
      </c>
      <c r="R21" s="131" t="s">
        <v>1213</v>
      </c>
      <c r="S21" s="111" t="s">
        <v>1315</v>
      </c>
      <c r="T21" s="111"/>
      <c r="U21" s="131" t="s">
        <v>1311</v>
      </c>
      <c r="V21" s="131" t="s">
        <v>1312</v>
      </c>
      <c r="W21" s="408"/>
      <c r="X21" s="409"/>
    </row>
    <row r="188" ht="57.95" customHeight="1"/>
    <row r="242" ht="81.95" customHeight="1"/>
    <row r="277" ht="53.45" customHeight="1"/>
    <row r="278" ht="50.45" customHeight="1"/>
    <row r="289" ht="42.6" customHeight="1"/>
    <row r="290" ht="48.95" customHeight="1"/>
    <row r="291" ht="51.6" customHeight="1"/>
    <row r="292" ht="48.95" customHeight="1"/>
    <row r="306" ht="60.6" customHeight="1"/>
    <row r="690" ht="101.45" customHeight="1"/>
    <row r="691" ht="89.45" customHeight="1"/>
    <row r="692" ht="96.95" customHeight="1"/>
    <row r="693" ht="45.95" customHeight="1"/>
    <row r="694" ht="75" customHeight="1"/>
    <row r="695" ht="363.6" customHeight="1"/>
    <row r="696" ht="70.5" customHeight="1"/>
    <row r="697" ht="68.099999999999994" customHeight="1"/>
    <row r="698" ht="188.1" customHeight="1"/>
    <row r="699" ht="405.75" customHeight="1"/>
    <row r="700" ht="134.44999999999999" customHeight="1"/>
    <row r="701" ht="167.1" customHeight="1"/>
    <row r="702" ht="51" customHeight="1"/>
    <row r="703" ht="60.6" customHeight="1"/>
    <row r="704" ht="108" customHeight="1"/>
  </sheetData>
  <mergeCells count="6">
    <mergeCell ref="A14:XFD14"/>
    <mergeCell ref="B2:X2"/>
    <mergeCell ref="H3:M3"/>
    <mergeCell ref="B5:M5"/>
    <mergeCell ref="A6:XFD6"/>
    <mergeCell ref="A10:XFD10"/>
  </mergeCells>
  <pageMargins left="0.7" right="0.7" top="0.75" bottom="0.75" header="0.3" footer="0.3"/>
  <pageSetup paperSize="9" orientation="portrait"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C096-EEF7-4037-AD39-1B716516BB6D}">
  <dimension ref="A1:X694"/>
  <sheetViews>
    <sheetView showGridLines="0" zoomScale="80" zoomScaleNormal="80" workbookViewId="0">
      <pane ySplit="5" topLeftCell="A6" activePane="bottomLeft" state="frozen"/>
      <selection pane="bottomLeft" activeCell="F6" sqref="F6"/>
    </sheetView>
  </sheetViews>
  <sheetFormatPr defaultColWidth="8.85546875" defaultRowHeight="15"/>
  <cols>
    <col min="1" max="1" width="2.42578125" customWidth="1"/>
    <col min="2" max="2" width="38.42578125" customWidth="1"/>
    <col min="3" max="3" width="41.7109375" customWidth="1"/>
    <col min="4" max="4" width="27" customWidth="1"/>
    <col min="5" max="5" width="27.42578125" customWidth="1"/>
    <col min="6" max="6" width="29.140625" customWidth="1"/>
    <col min="7" max="7" width="33" customWidth="1"/>
    <col min="8" max="8" width="19.7109375" customWidth="1"/>
    <col min="9" max="9" width="18.42578125" customWidth="1"/>
    <col min="10" max="10" width="22" customWidth="1"/>
    <col min="11" max="11" width="25.85546875" customWidth="1"/>
    <col min="12" max="12" width="26.7109375" customWidth="1"/>
    <col min="13" max="13" width="19.140625" customWidth="1"/>
    <col min="14" max="14" width="14.42578125" customWidth="1"/>
    <col min="15" max="15" width="20.85546875" customWidth="1"/>
    <col min="16" max="16" width="24.42578125" customWidth="1"/>
    <col min="17" max="17" width="15.42578125" customWidth="1"/>
    <col min="18" max="18" width="16.140625" customWidth="1"/>
    <col min="19" max="19" width="49.28515625" customWidth="1"/>
    <col min="20" max="20" width="46" customWidth="1"/>
    <col min="21" max="21" width="40.7109375" customWidth="1"/>
    <col min="22" max="22" width="38.28515625" customWidth="1"/>
    <col min="23" max="23" width="28.7109375" customWidth="1"/>
    <col min="24" max="24" width="33.85546875" customWidth="1"/>
  </cols>
  <sheetData>
    <row r="1" spans="1:24" ht="15.75" thickBot="1"/>
    <row r="2" spans="1: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1:24" ht="88.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1:24" ht="29.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1:24" ht="15.75" customHeight="1">
      <c r="B5" s="665" t="s">
        <v>1316</v>
      </c>
      <c r="C5" s="666"/>
      <c r="D5" s="666"/>
      <c r="E5" s="666"/>
      <c r="F5" s="666"/>
      <c r="G5" s="666"/>
      <c r="H5" s="666"/>
      <c r="I5" s="666"/>
      <c r="J5" s="666"/>
      <c r="K5" s="666"/>
      <c r="L5" s="666"/>
      <c r="M5" s="667"/>
      <c r="N5" s="297"/>
      <c r="O5" s="297"/>
      <c r="P5" s="297"/>
      <c r="Q5" s="297"/>
      <c r="R5" s="297"/>
      <c r="S5" s="297"/>
      <c r="T5" s="297"/>
      <c r="U5" s="297"/>
      <c r="V5" s="297"/>
      <c r="W5" s="297"/>
      <c r="X5" s="297"/>
    </row>
    <row r="6" spans="1:24" ht="138.75" customHeight="1">
      <c r="A6" s="410"/>
      <c r="B6" s="131" t="s">
        <v>1317</v>
      </c>
      <c r="C6" s="411" t="s">
        <v>56</v>
      </c>
      <c r="D6" s="195" t="s">
        <v>1318</v>
      </c>
      <c r="E6" s="412" t="s">
        <v>56</v>
      </c>
      <c r="F6" s="413" t="s">
        <v>1319</v>
      </c>
      <c r="G6" s="414" t="s">
        <v>56</v>
      </c>
      <c r="H6" s="415" t="s">
        <v>28</v>
      </c>
      <c r="I6" s="415" t="s">
        <v>28</v>
      </c>
      <c r="J6" s="415" t="s">
        <v>28</v>
      </c>
      <c r="K6" s="415" t="s">
        <v>28</v>
      </c>
      <c r="L6" s="415" t="s">
        <v>28</v>
      </c>
      <c r="M6" s="415" t="s">
        <v>28</v>
      </c>
      <c r="N6" s="195" t="s">
        <v>142</v>
      </c>
      <c r="O6" s="199" t="s">
        <v>1320</v>
      </c>
      <c r="P6" s="199" t="s">
        <v>56</v>
      </c>
      <c r="Q6" s="199" t="s">
        <v>1321</v>
      </c>
      <c r="R6" s="199" t="s">
        <v>56</v>
      </c>
      <c r="S6" s="195" t="s">
        <v>1322</v>
      </c>
      <c r="T6" s="199" t="s">
        <v>56</v>
      </c>
      <c r="U6" s="195" t="s">
        <v>1323</v>
      </c>
      <c r="V6" s="199" t="s">
        <v>56</v>
      </c>
      <c r="W6" s="199" t="s">
        <v>1324</v>
      </c>
      <c r="X6" s="199" t="s">
        <v>56</v>
      </c>
    </row>
    <row r="7" spans="1:24" ht="117" customHeight="1">
      <c r="A7" s="410"/>
      <c r="B7" s="416" t="s">
        <v>1317</v>
      </c>
      <c r="C7" s="417" t="s">
        <v>56</v>
      </c>
      <c r="D7" s="418" t="s">
        <v>1325</v>
      </c>
      <c r="E7" s="418" t="s">
        <v>56</v>
      </c>
      <c r="F7" s="418" t="s">
        <v>1326</v>
      </c>
      <c r="G7" s="419" t="s">
        <v>56</v>
      </c>
      <c r="H7" s="420" t="s">
        <v>28</v>
      </c>
      <c r="I7" s="420" t="s">
        <v>28</v>
      </c>
      <c r="J7" s="420" t="s">
        <v>28</v>
      </c>
      <c r="K7" s="420" t="s">
        <v>28</v>
      </c>
      <c r="L7" s="420" t="s">
        <v>28</v>
      </c>
      <c r="M7" s="420" t="s">
        <v>28</v>
      </c>
      <c r="N7" s="418" t="s">
        <v>312</v>
      </c>
      <c r="O7" s="199" t="s">
        <v>1327</v>
      </c>
      <c r="P7" s="199" t="s">
        <v>56</v>
      </c>
      <c r="Q7" s="199" t="s">
        <v>1321</v>
      </c>
      <c r="R7" s="199" t="s">
        <v>56</v>
      </c>
      <c r="S7" s="418" t="s">
        <v>1328</v>
      </c>
      <c r="T7" s="199" t="s">
        <v>56</v>
      </c>
      <c r="U7" s="418" t="s">
        <v>1329</v>
      </c>
      <c r="V7" s="199" t="s">
        <v>56</v>
      </c>
      <c r="W7" s="199" t="s">
        <v>1330</v>
      </c>
      <c r="X7" s="199" t="s">
        <v>56</v>
      </c>
    </row>
    <row r="8" spans="1:24" ht="119.25" customHeight="1">
      <c r="A8" s="410"/>
      <c r="B8" s="416" t="s">
        <v>1317</v>
      </c>
      <c r="C8" s="417" t="s">
        <v>56</v>
      </c>
      <c r="D8" s="418" t="s">
        <v>1331</v>
      </c>
      <c r="E8" s="418" t="s">
        <v>56</v>
      </c>
      <c r="F8" s="420" t="s">
        <v>28</v>
      </c>
      <c r="G8" s="421" t="s">
        <v>28</v>
      </c>
      <c r="H8" s="418" t="s">
        <v>1332</v>
      </c>
      <c r="I8" s="418" t="s">
        <v>56</v>
      </c>
      <c r="J8" s="418">
        <v>0</v>
      </c>
      <c r="K8" s="418" t="s">
        <v>56</v>
      </c>
      <c r="L8" s="418">
        <v>20</v>
      </c>
      <c r="M8" s="418" t="s">
        <v>56</v>
      </c>
      <c r="N8" s="418" t="s">
        <v>398</v>
      </c>
      <c r="O8" s="195" t="s">
        <v>1333</v>
      </c>
      <c r="P8" s="199" t="s">
        <v>56</v>
      </c>
      <c r="Q8" s="199" t="s">
        <v>1334</v>
      </c>
      <c r="R8" s="199" t="s">
        <v>56</v>
      </c>
      <c r="S8" s="418" t="s">
        <v>1335</v>
      </c>
      <c r="T8" s="199" t="s">
        <v>56</v>
      </c>
      <c r="U8" s="418" t="s">
        <v>1336</v>
      </c>
      <c r="V8" s="199" t="s">
        <v>56</v>
      </c>
      <c r="W8" s="199" t="s">
        <v>1337</v>
      </c>
      <c r="X8" s="199" t="s">
        <v>56</v>
      </c>
    </row>
    <row r="9" spans="1:24" s="422" customFormat="1" ht="7.5" customHeight="1">
      <c r="B9" s="423"/>
      <c r="C9" s="424"/>
      <c r="D9" s="423"/>
      <c r="E9" s="423"/>
      <c r="F9" s="423"/>
      <c r="G9" s="425"/>
      <c r="H9" s="425"/>
      <c r="I9" s="423"/>
      <c r="J9" s="423"/>
      <c r="K9" s="423"/>
      <c r="L9" s="423"/>
      <c r="M9" s="423"/>
      <c r="N9" s="423"/>
      <c r="O9" s="423"/>
      <c r="P9" s="423"/>
      <c r="Q9" s="423"/>
      <c r="R9" s="423"/>
      <c r="S9" s="425"/>
      <c r="T9" s="423"/>
      <c r="U9" s="425"/>
      <c r="V9" s="423"/>
      <c r="W9" s="423"/>
      <c r="X9" s="423"/>
    </row>
    <row r="10" spans="1:24" s="146" customFormat="1" ht="216" customHeight="1">
      <c r="B10" s="131" t="s">
        <v>1338</v>
      </c>
      <c r="C10" s="131" t="s">
        <v>1339</v>
      </c>
      <c r="D10" s="131" t="s">
        <v>1340</v>
      </c>
      <c r="E10" s="131" t="s">
        <v>1341</v>
      </c>
      <c r="F10" s="26" t="s">
        <v>1342</v>
      </c>
      <c r="G10" s="26" t="s">
        <v>1343</v>
      </c>
      <c r="H10" s="426" t="s">
        <v>28</v>
      </c>
      <c r="I10" s="426" t="s">
        <v>28</v>
      </c>
      <c r="J10" s="426" t="s">
        <v>28</v>
      </c>
      <c r="K10" s="426" t="s">
        <v>28</v>
      </c>
      <c r="L10" s="426" t="s">
        <v>28</v>
      </c>
      <c r="M10" s="426" t="s">
        <v>28</v>
      </c>
      <c r="N10" s="131" t="s">
        <v>135</v>
      </c>
      <c r="O10" s="131" t="s">
        <v>1344</v>
      </c>
      <c r="P10" s="131" t="s">
        <v>1345</v>
      </c>
      <c r="Q10" s="131" t="s">
        <v>1321</v>
      </c>
      <c r="R10" s="131" t="s">
        <v>1213</v>
      </c>
      <c r="S10" s="131" t="s">
        <v>1346</v>
      </c>
      <c r="T10" s="131" t="s">
        <v>1347</v>
      </c>
      <c r="U10" s="131" t="s">
        <v>1348</v>
      </c>
      <c r="V10" s="131" t="s">
        <v>1349</v>
      </c>
      <c r="W10" s="131" t="s">
        <v>1350</v>
      </c>
      <c r="X10" s="131" t="s">
        <v>1351</v>
      </c>
    </row>
    <row r="11" spans="1:24" s="427" customFormat="1" ht="264.75" customHeight="1">
      <c r="B11" s="26" t="s">
        <v>1338</v>
      </c>
      <c r="C11" s="131" t="s">
        <v>1339</v>
      </c>
      <c r="D11" s="26" t="s">
        <v>1352</v>
      </c>
      <c r="E11" s="26" t="s">
        <v>1353</v>
      </c>
      <c r="F11" s="26" t="s">
        <v>1354</v>
      </c>
      <c r="G11" s="26" t="s">
        <v>1355</v>
      </c>
      <c r="H11" s="428" t="s">
        <v>28</v>
      </c>
      <c r="I11" s="428" t="s">
        <v>28</v>
      </c>
      <c r="J11" s="428" t="s">
        <v>28</v>
      </c>
      <c r="K11" s="428" t="s">
        <v>28</v>
      </c>
      <c r="L11" s="428" t="s">
        <v>28</v>
      </c>
      <c r="M11" s="428" t="s">
        <v>28</v>
      </c>
      <c r="N11" s="26" t="s">
        <v>142</v>
      </c>
      <c r="O11" s="26" t="s">
        <v>1356</v>
      </c>
      <c r="P11" s="26" t="s">
        <v>1357</v>
      </c>
      <c r="Q11" s="26" t="s">
        <v>1321</v>
      </c>
      <c r="R11" s="26" t="s">
        <v>1213</v>
      </c>
      <c r="S11" s="26" t="s">
        <v>1358</v>
      </c>
      <c r="T11" s="26" t="s">
        <v>1359</v>
      </c>
      <c r="U11" s="26" t="s">
        <v>1360</v>
      </c>
      <c r="V11" s="26" t="s">
        <v>1361</v>
      </c>
      <c r="W11" s="26" t="s">
        <v>1350</v>
      </c>
      <c r="X11" s="26" t="s">
        <v>1351</v>
      </c>
    </row>
    <row r="12" spans="1:24" s="146" customFormat="1" ht="265.5" customHeight="1">
      <c r="B12" s="131" t="s">
        <v>1338</v>
      </c>
      <c r="C12" s="131" t="s">
        <v>1339</v>
      </c>
      <c r="D12" s="131" t="s">
        <v>1362</v>
      </c>
      <c r="E12" s="131" t="s">
        <v>1363</v>
      </c>
      <c r="F12" s="426" t="s">
        <v>28</v>
      </c>
      <c r="G12" s="426" t="s">
        <v>28</v>
      </c>
      <c r="H12" s="132" t="s">
        <v>1364</v>
      </c>
      <c r="I12" s="132" t="s">
        <v>1365</v>
      </c>
      <c r="J12" s="132">
        <v>0</v>
      </c>
      <c r="K12" s="132">
        <v>0</v>
      </c>
      <c r="L12" s="132" t="s">
        <v>1366</v>
      </c>
      <c r="M12" s="132" t="s">
        <v>1367</v>
      </c>
      <c r="N12" s="131" t="s">
        <v>145</v>
      </c>
      <c r="O12" s="131" t="s">
        <v>1356</v>
      </c>
      <c r="P12" s="131" t="s">
        <v>1357</v>
      </c>
      <c r="Q12" s="131" t="s">
        <v>1321</v>
      </c>
      <c r="R12" s="131" t="s">
        <v>1213</v>
      </c>
      <c r="S12" s="131" t="s">
        <v>1368</v>
      </c>
      <c r="T12" s="131" t="s">
        <v>1369</v>
      </c>
      <c r="U12" s="131" t="s">
        <v>1370</v>
      </c>
      <c r="V12" s="131" t="s">
        <v>1371</v>
      </c>
      <c r="W12" s="131" t="s">
        <v>1350</v>
      </c>
      <c r="X12" s="131" t="s">
        <v>1351</v>
      </c>
    </row>
    <row r="13" spans="1:24" s="146" customFormat="1" ht="267.75" customHeight="1">
      <c r="B13" s="131" t="s">
        <v>1338</v>
      </c>
      <c r="C13" s="131" t="s">
        <v>1339</v>
      </c>
      <c r="D13" s="131" t="s">
        <v>1372</v>
      </c>
      <c r="E13" s="131" t="s">
        <v>1373</v>
      </c>
      <c r="F13" s="131" t="s">
        <v>1374</v>
      </c>
      <c r="G13" s="131" t="s">
        <v>1375</v>
      </c>
      <c r="H13" s="426" t="s">
        <v>28</v>
      </c>
      <c r="I13" s="426" t="s">
        <v>28</v>
      </c>
      <c r="J13" s="426" t="s">
        <v>28</v>
      </c>
      <c r="K13" s="426" t="s">
        <v>28</v>
      </c>
      <c r="L13" s="426" t="s">
        <v>28</v>
      </c>
      <c r="M13" s="426" t="s">
        <v>28</v>
      </c>
      <c r="N13" s="131" t="s">
        <v>910</v>
      </c>
      <c r="O13" s="131" t="s">
        <v>1356</v>
      </c>
      <c r="P13" s="131" t="s">
        <v>1357</v>
      </c>
      <c r="Q13" s="131" t="s">
        <v>1321</v>
      </c>
      <c r="R13" s="131" t="s">
        <v>1213</v>
      </c>
      <c r="S13" s="131" t="s">
        <v>1376</v>
      </c>
      <c r="T13" s="131" t="s">
        <v>1377</v>
      </c>
      <c r="U13" s="131" t="s">
        <v>1370</v>
      </c>
      <c r="V13" s="131" t="s">
        <v>1371</v>
      </c>
      <c r="W13" s="131" t="s">
        <v>1350</v>
      </c>
      <c r="X13" s="131" t="s">
        <v>1351</v>
      </c>
    </row>
    <row r="14" spans="1:24" s="429" customFormat="1" ht="10.5" customHeight="1">
      <c r="B14" s="423"/>
      <c r="C14" s="425"/>
      <c r="D14" s="423"/>
      <c r="E14" s="423"/>
      <c r="F14" s="423"/>
      <c r="G14" s="423"/>
      <c r="H14" s="430"/>
      <c r="I14" s="431"/>
      <c r="J14" s="431"/>
      <c r="K14" s="431"/>
      <c r="L14" s="431"/>
      <c r="M14" s="431"/>
      <c r="N14" s="423"/>
      <c r="O14" s="425"/>
      <c r="P14" s="425"/>
      <c r="Q14" s="425"/>
      <c r="R14" s="425"/>
      <c r="S14" s="425"/>
      <c r="T14" s="425"/>
      <c r="U14" s="425"/>
      <c r="V14" s="425"/>
      <c r="W14" s="425"/>
      <c r="X14" s="425"/>
    </row>
    <row r="15" spans="1:24" s="427" customFormat="1" ht="126" customHeight="1">
      <c r="B15" s="26" t="s">
        <v>1378</v>
      </c>
      <c r="C15" s="125" t="s">
        <v>1379</v>
      </c>
      <c r="D15" s="26" t="s">
        <v>1380</v>
      </c>
      <c r="E15" s="125" t="s">
        <v>1381</v>
      </c>
      <c r="F15" s="22" t="s">
        <v>28</v>
      </c>
      <c r="G15" s="22" t="s">
        <v>28</v>
      </c>
      <c r="H15" s="22" t="s">
        <v>1302</v>
      </c>
      <c r="I15" s="22" t="s">
        <v>1382</v>
      </c>
      <c r="J15" s="22">
        <v>0</v>
      </c>
      <c r="K15" s="22">
        <v>0</v>
      </c>
      <c r="L15" s="22">
        <v>250</v>
      </c>
      <c r="M15" s="432">
        <v>250</v>
      </c>
      <c r="N15" s="26" t="s">
        <v>1383</v>
      </c>
      <c r="O15" s="433"/>
      <c r="P15" s="434"/>
      <c r="Q15" s="26" t="s">
        <v>1321</v>
      </c>
      <c r="R15" s="26" t="s">
        <v>1213</v>
      </c>
      <c r="S15" s="125" t="s">
        <v>1384</v>
      </c>
      <c r="T15" s="125" t="s">
        <v>1385</v>
      </c>
      <c r="U15" s="125" t="s">
        <v>1386</v>
      </c>
      <c r="V15" s="125" t="s">
        <v>1387</v>
      </c>
      <c r="W15" s="125" t="s">
        <v>1388</v>
      </c>
      <c r="X15" s="125" t="s">
        <v>1389</v>
      </c>
    </row>
    <row r="16" spans="1:24" s="427" customFormat="1" ht="108" customHeight="1">
      <c r="B16" s="26" t="s">
        <v>1390</v>
      </c>
      <c r="C16" s="125" t="s">
        <v>1391</v>
      </c>
      <c r="D16" s="26" t="s">
        <v>1392</v>
      </c>
      <c r="E16" s="125" t="s">
        <v>1393</v>
      </c>
      <c r="F16" s="22" t="s">
        <v>28</v>
      </c>
      <c r="G16" s="22" t="s">
        <v>28</v>
      </c>
      <c r="H16" s="22" t="s">
        <v>1394</v>
      </c>
      <c r="I16" s="22" t="s">
        <v>1395</v>
      </c>
      <c r="J16" s="22">
        <v>0</v>
      </c>
      <c r="K16" s="22">
        <v>0</v>
      </c>
      <c r="L16" s="435">
        <v>500000</v>
      </c>
      <c r="M16" s="432">
        <v>500000</v>
      </c>
      <c r="N16" s="26" t="s">
        <v>1396</v>
      </c>
      <c r="O16" s="433"/>
      <c r="P16" s="434"/>
      <c r="Q16" s="26" t="s">
        <v>1321</v>
      </c>
      <c r="R16" s="26" t="s">
        <v>1213</v>
      </c>
      <c r="S16" s="125" t="s">
        <v>1397</v>
      </c>
      <c r="T16" s="125" t="s">
        <v>1398</v>
      </c>
      <c r="U16" s="125" t="s">
        <v>1399</v>
      </c>
      <c r="V16" s="125" t="s">
        <v>1400</v>
      </c>
      <c r="W16" s="125" t="s">
        <v>1401</v>
      </c>
      <c r="X16" s="125" t="s">
        <v>1402</v>
      </c>
    </row>
    <row r="17" s="146" customFormat="1"/>
    <row r="18" s="146" customFormat="1"/>
    <row r="19" s="146" customFormat="1"/>
    <row r="20" s="146" customFormat="1"/>
    <row r="21" s="146" customFormat="1"/>
    <row r="178" ht="57.95" customHeight="1"/>
    <row r="232" ht="81.95" customHeight="1"/>
    <row r="267" ht="53.45" customHeight="1"/>
    <row r="268" ht="50.45" customHeight="1"/>
    <row r="279" ht="42.6" customHeight="1"/>
    <row r="280" ht="48.95" customHeight="1"/>
    <row r="281" ht="51.6" customHeight="1"/>
    <row r="282" ht="48.95" customHeight="1"/>
    <row r="296" ht="60.6" customHeight="1"/>
    <row r="680" ht="101.45" customHeight="1"/>
    <row r="681" ht="89.45" customHeight="1"/>
    <row r="682" ht="96.95" customHeight="1"/>
    <row r="683" ht="45.95" customHeight="1"/>
    <row r="684" ht="75" customHeight="1"/>
    <row r="685" ht="363.6" customHeight="1"/>
    <row r="686" ht="70.5" customHeight="1"/>
    <row r="687" ht="68.099999999999994" customHeight="1"/>
    <row r="688" ht="188.1" customHeight="1"/>
    <row r="689" ht="405.75" customHeight="1"/>
    <row r="690" ht="134.44999999999999" customHeight="1"/>
    <row r="691" ht="167.1" customHeight="1"/>
    <row r="692" ht="51" customHeight="1"/>
    <row r="693" ht="60.6" customHeight="1"/>
    <row r="694" ht="108" customHeight="1"/>
  </sheetData>
  <mergeCells count="3">
    <mergeCell ref="B2:X2"/>
    <mergeCell ref="H3:M3"/>
    <mergeCell ref="B5:M5"/>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72BB-5464-4DF0-A42E-015E80530787}">
  <sheetPr>
    <pageSetUpPr fitToPage="1"/>
  </sheetPr>
  <dimension ref="B1:X702"/>
  <sheetViews>
    <sheetView showGridLines="0" zoomScale="60" zoomScaleNormal="60" workbookViewId="0">
      <pane xSplit="2" ySplit="5" topLeftCell="N24" activePane="bottomRight" state="frozen"/>
      <selection pane="topRight" activeCell="C1" sqref="C1"/>
      <selection pane="bottomLeft" activeCell="A6" sqref="A6"/>
      <selection pane="bottomRight" activeCell="A28" sqref="A28:XFD33"/>
    </sheetView>
  </sheetViews>
  <sheetFormatPr defaultRowHeight="15"/>
  <cols>
    <col min="1" max="1" width="2.42578125" customWidth="1"/>
    <col min="2" max="2" width="93.140625" customWidth="1"/>
    <col min="3" max="3" width="23.42578125" customWidth="1"/>
    <col min="4" max="4" width="17.42578125" customWidth="1"/>
    <col min="5" max="5" width="23.85546875" bestFit="1" customWidth="1"/>
    <col min="6" max="6" width="15.5703125" customWidth="1"/>
    <col min="7" max="7" width="82.7109375" customWidth="1"/>
    <col min="8" max="8" width="19.7109375" customWidth="1"/>
    <col min="9" max="9" width="18.5703125" customWidth="1"/>
    <col min="10" max="10" width="13" bestFit="1" customWidth="1"/>
    <col min="11" max="11" width="25.85546875" customWidth="1"/>
    <col min="12" max="12" width="26.7109375" customWidth="1"/>
    <col min="13" max="13" width="19.140625" customWidth="1"/>
    <col min="14" max="14" width="14.42578125" bestFit="1" customWidth="1"/>
    <col min="15" max="15" width="18" bestFit="1" customWidth="1"/>
    <col min="16" max="16" width="7.28515625" customWidth="1"/>
    <col min="19" max="19" width="48.42578125" customWidth="1"/>
    <col min="20" max="20" width="45.140625" customWidth="1"/>
    <col min="21" max="21" width="42" bestFit="1" customWidth="1"/>
    <col min="22" max="22" width="15.5703125" customWidth="1"/>
    <col min="23" max="23" width="26.5703125" customWidth="1"/>
    <col min="24" max="24" width="28.7109375"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138.7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29.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ustomHeight="1" thickBot="1">
      <c r="B5" s="674" t="s">
        <v>1403</v>
      </c>
      <c r="C5" s="675"/>
      <c r="D5" s="675"/>
      <c r="E5" s="675"/>
      <c r="F5" s="675"/>
      <c r="G5" s="675"/>
      <c r="H5" s="675"/>
      <c r="I5" s="675"/>
      <c r="J5" s="675"/>
      <c r="K5" s="675"/>
      <c r="L5" s="675"/>
      <c r="M5" s="676"/>
    </row>
    <row r="6" spans="2:24" ht="48" thickBot="1">
      <c r="B6" s="436" t="s">
        <v>1404</v>
      </c>
      <c r="C6" s="382"/>
      <c r="D6" s="382" t="s">
        <v>1405</v>
      </c>
      <c r="E6" s="131" t="s">
        <v>1406</v>
      </c>
      <c r="F6" s="382" t="s">
        <v>1407</v>
      </c>
      <c r="G6" s="382"/>
      <c r="H6" s="382" t="s">
        <v>144</v>
      </c>
      <c r="I6" s="385"/>
      <c r="J6" s="385">
        <v>0</v>
      </c>
      <c r="K6" s="385"/>
      <c r="L6" s="437" t="s">
        <v>1408</v>
      </c>
      <c r="M6" s="106">
        <v>1</v>
      </c>
      <c r="N6" s="106" t="s">
        <v>1409</v>
      </c>
      <c r="O6" s="104" t="s">
        <v>1410</v>
      </c>
      <c r="P6" s="107" t="s">
        <v>1411</v>
      </c>
      <c r="Q6" s="106"/>
      <c r="R6" s="106"/>
      <c r="S6" s="107" t="s">
        <v>1412</v>
      </c>
      <c r="T6" s="106"/>
      <c r="U6" s="107" t="s">
        <v>1413</v>
      </c>
      <c r="V6" s="106"/>
      <c r="W6" s="249" t="s">
        <v>1414</v>
      </c>
      <c r="X6" s="106"/>
    </row>
    <row r="7" spans="2:24" ht="60.75" thickBot="1">
      <c r="B7" s="436" t="s">
        <v>1415</v>
      </c>
      <c r="C7" s="382"/>
      <c r="D7" s="382" t="s">
        <v>1416</v>
      </c>
      <c r="E7" s="382"/>
      <c r="F7" s="382" t="s">
        <v>1407</v>
      </c>
      <c r="G7" s="382"/>
      <c r="H7" s="382"/>
      <c r="I7" s="385"/>
      <c r="J7" s="385"/>
      <c r="K7" s="385"/>
      <c r="L7" s="437" t="s">
        <v>1408</v>
      </c>
      <c r="M7" s="106"/>
      <c r="N7" s="106" t="s">
        <v>1409</v>
      </c>
      <c r="O7" s="104" t="s">
        <v>1410</v>
      </c>
      <c r="P7" s="107" t="s">
        <v>1411</v>
      </c>
      <c r="Q7" s="106"/>
      <c r="R7" s="106"/>
      <c r="S7" s="107" t="s">
        <v>1412</v>
      </c>
      <c r="T7" s="106"/>
      <c r="U7" s="107" t="s">
        <v>1417</v>
      </c>
      <c r="V7" s="106"/>
      <c r="W7" s="249" t="s">
        <v>1414</v>
      </c>
      <c r="X7" s="106"/>
    </row>
    <row r="8" spans="2:24" ht="64.5" customHeight="1" thickBot="1">
      <c r="B8" s="436" t="s">
        <v>1418</v>
      </c>
      <c r="C8" s="382"/>
      <c r="D8" s="382" t="s">
        <v>1419</v>
      </c>
      <c r="E8" s="382"/>
      <c r="F8" s="382" t="s">
        <v>1407</v>
      </c>
      <c r="G8" s="382"/>
      <c r="H8" s="382"/>
      <c r="I8" s="385"/>
      <c r="J8" s="385"/>
      <c r="K8" s="385"/>
      <c r="L8" s="437" t="s">
        <v>1408</v>
      </c>
      <c r="M8" s="106"/>
      <c r="N8" s="106" t="s">
        <v>1420</v>
      </c>
      <c r="O8" s="104" t="s">
        <v>1410</v>
      </c>
      <c r="P8" s="107" t="s">
        <v>1411</v>
      </c>
      <c r="Q8" s="106"/>
      <c r="R8" s="106"/>
      <c r="S8" s="107" t="s">
        <v>1421</v>
      </c>
      <c r="T8" s="106"/>
      <c r="U8" s="107" t="s">
        <v>1422</v>
      </c>
      <c r="V8" s="106"/>
      <c r="W8" s="249" t="s">
        <v>1414</v>
      </c>
      <c r="X8" s="106"/>
    </row>
    <row r="9" spans="2:24" ht="86.25" customHeight="1" thickBot="1">
      <c r="B9" s="436" t="s">
        <v>1423</v>
      </c>
      <c r="C9" s="382"/>
      <c r="D9" s="382" t="s">
        <v>1424</v>
      </c>
      <c r="E9" s="382"/>
      <c r="F9" s="382" t="s">
        <v>1407</v>
      </c>
      <c r="G9" s="382"/>
      <c r="H9" s="382"/>
      <c r="I9" s="385"/>
      <c r="J9" s="385"/>
      <c r="K9" s="385"/>
      <c r="L9" s="437" t="s">
        <v>1408</v>
      </c>
      <c r="M9" s="106"/>
      <c r="N9" s="106" t="s">
        <v>1425</v>
      </c>
      <c r="O9" s="104" t="s">
        <v>1410</v>
      </c>
      <c r="P9" s="107" t="s">
        <v>1411</v>
      </c>
      <c r="Q9" s="106"/>
      <c r="R9" s="106"/>
      <c r="S9" s="107" t="s">
        <v>1426</v>
      </c>
      <c r="T9" s="106"/>
      <c r="U9" s="107" t="s">
        <v>1427</v>
      </c>
      <c r="V9" s="106"/>
      <c r="W9" s="249" t="s">
        <v>1414</v>
      </c>
      <c r="X9" s="106"/>
    </row>
    <row r="10" spans="2:24" ht="84.75" customHeight="1" thickBot="1">
      <c r="B10" s="436" t="s">
        <v>1428</v>
      </c>
      <c r="C10" s="382"/>
      <c r="D10" s="382" t="s">
        <v>1429</v>
      </c>
      <c r="E10" s="382"/>
      <c r="F10" s="382" t="s">
        <v>1407</v>
      </c>
      <c r="G10" s="382"/>
      <c r="H10" s="382"/>
      <c r="I10" s="385"/>
      <c r="J10" s="385"/>
      <c r="K10" s="385"/>
      <c r="L10" s="437" t="s">
        <v>1430</v>
      </c>
      <c r="M10" s="106"/>
      <c r="N10" s="106" t="s">
        <v>1425</v>
      </c>
      <c r="O10" s="104" t="s">
        <v>1410</v>
      </c>
      <c r="P10" s="107" t="s">
        <v>1411</v>
      </c>
      <c r="Q10" s="106"/>
      <c r="R10" s="106"/>
      <c r="S10" s="107" t="s">
        <v>1426</v>
      </c>
      <c r="T10" s="106"/>
      <c r="U10" s="107" t="s">
        <v>1427</v>
      </c>
      <c r="V10" s="106"/>
      <c r="W10" s="249" t="s">
        <v>1414</v>
      </c>
      <c r="X10" s="106"/>
    </row>
    <row r="11" spans="2:24" ht="84.75" customHeight="1" thickBot="1">
      <c r="B11" s="436" t="s">
        <v>1431</v>
      </c>
      <c r="C11" s="382"/>
      <c r="D11" s="382" t="s">
        <v>1432</v>
      </c>
      <c r="E11" s="382"/>
      <c r="F11" s="382" t="s">
        <v>1407</v>
      </c>
      <c r="G11" s="382"/>
      <c r="H11" s="382"/>
      <c r="I11" s="385"/>
      <c r="J11" s="385"/>
      <c r="K11" s="385"/>
      <c r="L11" s="437" t="s">
        <v>1408</v>
      </c>
      <c r="M11" s="106"/>
      <c r="N11" s="106" t="s">
        <v>1420</v>
      </c>
      <c r="O11" s="104" t="s">
        <v>1410</v>
      </c>
      <c r="P11" s="107" t="s">
        <v>1411</v>
      </c>
      <c r="Q11" s="106"/>
      <c r="R11" s="106"/>
      <c r="S11" s="107" t="s">
        <v>1426</v>
      </c>
      <c r="T11" s="106"/>
      <c r="U11" s="107" t="s">
        <v>1427</v>
      </c>
      <c r="V11" s="106"/>
      <c r="W11" s="249" t="s">
        <v>1414</v>
      </c>
      <c r="X11" s="106"/>
    </row>
    <row r="12" spans="2:24" ht="84" customHeight="1" thickBot="1">
      <c r="B12" s="436" t="s">
        <v>1433</v>
      </c>
      <c r="C12" s="382"/>
      <c r="D12" s="382" t="s">
        <v>1434</v>
      </c>
      <c r="E12" s="382"/>
      <c r="F12" s="382" t="s">
        <v>1407</v>
      </c>
      <c r="G12" s="382"/>
      <c r="H12" s="382"/>
      <c r="I12" s="385"/>
      <c r="J12" s="385"/>
      <c r="K12" s="385"/>
      <c r="L12" s="437" t="s">
        <v>1435</v>
      </c>
      <c r="M12" s="106"/>
      <c r="N12" s="106" t="s">
        <v>1425</v>
      </c>
      <c r="O12" s="104" t="s">
        <v>1410</v>
      </c>
      <c r="P12" s="107" t="s">
        <v>1411</v>
      </c>
      <c r="Q12" s="106"/>
      <c r="R12" s="106"/>
      <c r="S12" s="107" t="s">
        <v>1436</v>
      </c>
      <c r="T12" s="106"/>
      <c r="U12" s="107" t="s">
        <v>1427</v>
      </c>
      <c r="V12" s="106"/>
      <c r="W12" s="249" t="s">
        <v>1414</v>
      </c>
      <c r="X12" s="106"/>
    </row>
    <row r="13" spans="2:24" ht="86.25" customHeight="1" thickBot="1">
      <c r="B13" s="436" t="s">
        <v>1437</v>
      </c>
      <c r="C13" s="382"/>
      <c r="D13" s="382" t="s">
        <v>1438</v>
      </c>
      <c r="E13" s="382"/>
      <c r="F13" s="382" t="s">
        <v>1407</v>
      </c>
      <c r="G13" s="382"/>
      <c r="H13" s="382"/>
      <c r="I13" s="385"/>
      <c r="J13" s="385"/>
      <c r="K13" s="385"/>
      <c r="L13" s="437" t="s">
        <v>1408</v>
      </c>
      <c r="M13" s="106"/>
      <c r="N13" s="106" t="s">
        <v>1409</v>
      </c>
      <c r="O13" s="104" t="s">
        <v>1410</v>
      </c>
      <c r="P13" s="107" t="s">
        <v>1411</v>
      </c>
      <c r="Q13" s="106"/>
      <c r="R13" s="106"/>
      <c r="S13" s="107" t="s">
        <v>1426</v>
      </c>
      <c r="T13" s="106"/>
      <c r="U13" s="107" t="s">
        <v>1427</v>
      </c>
      <c r="V13" s="106"/>
      <c r="W13" s="249" t="s">
        <v>1414</v>
      </c>
      <c r="X13" s="106"/>
    </row>
    <row r="14" spans="2:24" ht="82.5" customHeight="1" thickBot="1">
      <c r="B14" s="436" t="s">
        <v>1439</v>
      </c>
      <c r="C14" s="382"/>
      <c r="D14" s="382" t="s">
        <v>1440</v>
      </c>
      <c r="E14" s="382"/>
      <c r="F14" s="382" t="s">
        <v>1407</v>
      </c>
      <c r="G14" s="382"/>
      <c r="H14" s="382"/>
      <c r="I14" s="385"/>
      <c r="J14" s="385"/>
      <c r="K14" s="385"/>
      <c r="L14" s="437" t="s">
        <v>1408</v>
      </c>
      <c r="M14" s="106"/>
      <c r="N14" s="106" t="s">
        <v>1420</v>
      </c>
      <c r="O14" s="104" t="s">
        <v>1410</v>
      </c>
      <c r="P14" s="107" t="s">
        <v>1411</v>
      </c>
      <c r="Q14" s="106"/>
      <c r="R14" s="106"/>
      <c r="S14" s="107" t="s">
        <v>1426</v>
      </c>
      <c r="T14" s="106"/>
      <c r="U14" s="107" t="s">
        <v>1427</v>
      </c>
      <c r="V14" s="106"/>
      <c r="W14" s="249" t="s">
        <v>1414</v>
      </c>
      <c r="X14" s="106"/>
    </row>
    <row r="15" spans="2:24" ht="86.25" customHeight="1" thickBot="1">
      <c r="B15" s="436" t="s">
        <v>1441</v>
      </c>
      <c r="C15" s="382"/>
      <c r="D15" s="382" t="s">
        <v>1442</v>
      </c>
      <c r="E15" s="382"/>
      <c r="F15" s="382" t="s">
        <v>1407</v>
      </c>
      <c r="G15" s="382"/>
      <c r="H15" s="382"/>
      <c r="I15" s="385"/>
      <c r="J15" s="385"/>
      <c r="K15" s="385"/>
      <c r="L15" s="437" t="s">
        <v>1408</v>
      </c>
      <c r="M15" s="106"/>
      <c r="N15" s="106" t="s">
        <v>1409</v>
      </c>
      <c r="O15" s="104" t="s">
        <v>1410</v>
      </c>
      <c r="P15" s="107" t="s">
        <v>1411</v>
      </c>
      <c r="Q15" s="106"/>
      <c r="R15" s="106"/>
      <c r="S15" s="107" t="s">
        <v>1426</v>
      </c>
      <c r="T15" s="106"/>
      <c r="U15" s="107" t="s">
        <v>1427</v>
      </c>
      <c r="V15" s="106"/>
      <c r="W15" s="249" t="s">
        <v>1414</v>
      </c>
      <c r="X15" s="106"/>
    </row>
    <row r="16" spans="2:24" ht="60.75" thickBot="1">
      <c r="B16" s="436" t="s">
        <v>1443</v>
      </c>
      <c r="C16" s="382"/>
      <c r="D16" s="382" t="s">
        <v>1444</v>
      </c>
      <c r="E16" s="382"/>
      <c r="F16" s="382" t="s">
        <v>1407</v>
      </c>
      <c r="G16" s="382"/>
      <c r="H16" s="382"/>
      <c r="I16" s="385"/>
      <c r="J16" s="385"/>
      <c r="K16" s="385"/>
      <c r="L16" s="437" t="s">
        <v>1408</v>
      </c>
      <c r="M16" s="106"/>
      <c r="N16" s="106" t="s">
        <v>1445</v>
      </c>
      <c r="O16" s="104" t="s">
        <v>1410</v>
      </c>
      <c r="P16" s="107" t="s">
        <v>1411</v>
      </c>
      <c r="Q16" s="106"/>
      <c r="R16" s="106"/>
      <c r="S16" s="107" t="s">
        <v>1426</v>
      </c>
      <c r="T16" s="106"/>
      <c r="U16" s="107" t="s">
        <v>1427</v>
      </c>
      <c r="V16" s="106"/>
      <c r="W16" s="249" t="s">
        <v>1414</v>
      </c>
      <c r="X16" s="106"/>
    </row>
    <row r="17" spans="2:24" ht="57.75" customHeight="1" thickBot="1">
      <c r="B17" s="436" t="s">
        <v>1446</v>
      </c>
      <c r="C17" s="382"/>
      <c r="D17" s="382" t="s">
        <v>1447</v>
      </c>
      <c r="E17" s="382"/>
      <c r="F17" s="382" t="s">
        <v>1407</v>
      </c>
      <c r="G17" s="382"/>
      <c r="H17" s="382"/>
      <c r="I17" s="385"/>
      <c r="J17" s="385"/>
      <c r="K17" s="385"/>
      <c r="L17" s="437" t="s">
        <v>1408</v>
      </c>
      <c r="M17" s="106"/>
      <c r="N17" s="106" t="s">
        <v>1445</v>
      </c>
      <c r="O17" s="104" t="s">
        <v>1410</v>
      </c>
      <c r="P17" s="107" t="s">
        <v>1411</v>
      </c>
      <c r="Q17" s="106"/>
      <c r="R17" s="106"/>
      <c r="S17" s="107" t="s">
        <v>1426</v>
      </c>
      <c r="T17" s="106"/>
      <c r="U17" s="107" t="s">
        <v>1427</v>
      </c>
      <c r="V17" s="106"/>
      <c r="W17" s="249" t="s">
        <v>1414</v>
      </c>
      <c r="X17" s="106"/>
    </row>
    <row r="18" spans="2:24" ht="63" customHeight="1" thickBot="1">
      <c r="B18" s="436" t="s">
        <v>1448</v>
      </c>
      <c r="C18" s="382"/>
      <c r="D18" s="382" t="s">
        <v>1449</v>
      </c>
      <c r="E18" s="382"/>
      <c r="F18" s="382" t="s">
        <v>1407</v>
      </c>
      <c r="G18" s="382"/>
      <c r="H18" s="382"/>
      <c r="I18" s="385"/>
      <c r="J18" s="385"/>
      <c r="K18" s="385"/>
      <c r="L18" s="437" t="s">
        <v>1450</v>
      </c>
      <c r="M18" s="106"/>
      <c r="N18" s="106" t="s">
        <v>1445</v>
      </c>
      <c r="O18" s="104" t="s">
        <v>1410</v>
      </c>
      <c r="P18" s="107" t="s">
        <v>1411</v>
      </c>
      <c r="Q18" s="106"/>
      <c r="R18" s="106"/>
      <c r="S18" s="107" t="s">
        <v>1426</v>
      </c>
      <c r="T18" s="106"/>
      <c r="U18" s="107" t="s">
        <v>1427</v>
      </c>
      <c r="V18" s="106"/>
      <c r="W18" s="249" t="s">
        <v>1414</v>
      </c>
      <c r="X18" s="106"/>
    </row>
    <row r="19" spans="2:24" ht="60.75" customHeight="1" thickBot="1">
      <c r="B19" s="436" t="s">
        <v>1451</v>
      </c>
      <c r="C19" s="382"/>
      <c r="D19" s="382" t="s">
        <v>1452</v>
      </c>
      <c r="E19" s="382"/>
      <c r="F19" s="382" t="s">
        <v>1407</v>
      </c>
      <c r="G19" s="382"/>
      <c r="H19" s="382"/>
      <c r="I19" s="385"/>
      <c r="J19" s="385"/>
      <c r="K19" s="385"/>
      <c r="L19" s="437" t="s">
        <v>1450</v>
      </c>
      <c r="M19" s="106"/>
      <c r="N19" s="106" t="s">
        <v>1453</v>
      </c>
      <c r="O19" s="104" t="s">
        <v>1410</v>
      </c>
      <c r="P19" s="107" t="s">
        <v>1411</v>
      </c>
      <c r="Q19" s="106"/>
      <c r="R19" s="106"/>
      <c r="S19" s="107" t="s">
        <v>1426</v>
      </c>
      <c r="T19" s="106"/>
      <c r="U19" s="107" t="s">
        <v>1427</v>
      </c>
      <c r="V19" s="106"/>
      <c r="W19" s="249" t="s">
        <v>1414</v>
      </c>
      <c r="X19" s="106"/>
    </row>
    <row r="20" spans="2:24" ht="15.75" thickBot="1"/>
    <row r="21" spans="2:24" ht="15.6" customHeight="1" thickBot="1">
      <c r="B21" s="674" t="s">
        <v>1403</v>
      </c>
      <c r="C21" s="675"/>
      <c r="D21" s="675"/>
      <c r="E21" s="675"/>
      <c r="F21" s="630"/>
      <c r="G21" s="630"/>
      <c r="H21" s="630"/>
      <c r="I21" s="630"/>
      <c r="J21" s="630"/>
      <c r="K21" s="630"/>
      <c r="L21" s="630"/>
      <c r="M21" s="631"/>
    </row>
    <row r="22" spans="2:24" ht="242.45" customHeight="1" thickBot="1">
      <c r="B22" s="385" t="s">
        <v>1454</v>
      </c>
      <c r="C22" s="385"/>
      <c r="D22" s="438" t="s">
        <v>1455</v>
      </c>
      <c r="E22" s="439"/>
      <c r="F22" s="438" t="s">
        <v>129</v>
      </c>
      <c r="G22" s="439"/>
      <c r="H22" s="438" t="s">
        <v>1456</v>
      </c>
      <c r="I22" s="440"/>
      <c r="J22" s="440">
        <v>0</v>
      </c>
      <c r="K22" s="440"/>
      <c r="L22" s="438" t="s">
        <v>1457</v>
      </c>
      <c r="M22" s="441"/>
      <c r="N22" s="438" t="s">
        <v>1420</v>
      </c>
      <c r="O22" s="387" t="s">
        <v>1458</v>
      </c>
      <c r="P22" s="106"/>
      <c r="Q22" s="442" t="s">
        <v>1459</v>
      </c>
      <c r="R22" s="106"/>
      <c r="S22" s="387" t="s">
        <v>1460</v>
      </c>
      <c r="T22" s="106"/>
      <c r="U22" s="387" t="s">
        <v>1461</v>
      </c>
      <c r="V22" s="106"/>
      <c r="W22" s="387" t="s">
        <v>1462</v>
      </c>
      <c r="X22" s="443"/>
    </row>
    <row r="23" spans="2:24" ht="167.1" customHeight="1" thickBot="1">
      <c r="B23" s="385" t="s">
        <v>1454</v>
      </c>
      <c r="C23" s="385"/>
      <c r="D23" s="438" t="s">
        <v>1463</v>
      </c>
      <c r="E23" s="439"/>
      <c r="F23" s="438" t="s">
        <v>129</v>
      </c>
      <c r="G23" s="439"/>
      <c r="H23" s="438" t="s">
        <v>1456</v>
      </c>
      <c r="I23" s="440"/>
      <c r="J23" s="440">
        <v>0</v>
      </c>
      <c r="K23" s="440"/>
      <c r="L23" s="438" t="s">
        <v>1464</v>
      </c>
      <c r="M23" s="441"/>
      <c r="N23" s="438" t="s">
        <v>1445</v>
      </c>
      <c r="O23" s="387" t="s">
        <v>1458</v>
      </c>
      <c r="P23" s="106"/>
      <c r="Q23" s="442" t="s">
        <v>1459</v>
      </c>
      <c r="R23" s="106"/>
      <c r="S23" s="387" t="s">
        <v>1465</v>
      </c>
      <c r="T23" s="106"/>
      <c r="U23" s="387" t="s">
        <v>1461</v>
      </c>
      <c r="V23" s="106"/>
      <c r="W23" s="387" t="s">
        <v>1462</v>
      </c>
      <c r="X23" s="443"/>
    </row>
    <row r="24" spans="2:24" ht="170.45" customHeight="1" thickBot="1">
      <c r="B24" s="385" t="s">
        <v>1454</v>
      </c>
      <c r="C24" s="385"/>
      <c r="D24" s="438" t="s">
        <v>1466</v>
      </c>
      <c r="E24" s="439"/>
      <c r="F24" s="438" t="s">
        <v>129</v>
      </c>
      <c r="G24" s="439"/>
      <c r="H24" s="438" t="s">
        <v>1456</v>
      </c>
      <c r="I24" s="440"/>
      <c r="J24" s="440">
        <v>0</v>
      </c>
      <c r="K24" s="440"/>
      <c r="L24" s="438" t="s">
        <v>1467</v>
      </c>
      <c r="M24" s="441"/>
      <c r="N24" s="438" t="s">
        <v>1453</v>
      </c>
      <c r="O24" s="387" t="s">
        <v>1458</v>
      </c>
      <c r="P24" s="106"/>
      <c r="Q24" s="442" t="s">
        <v>1459</v>
      </c>
      <c r="R24" s="106"/>
      <c r="S24" s="387" t="s">
        <v>1468</v>
      </c>
      <c r="T24" s="106"/>
      <c r="U24" s="387" t="s">
        <v>1461</v>
      </c>
      <c r="V24" s="106"/>
      <c r="W24" s="387" t="s">
        <v>1462</v>
      </c>
      <c r="X24" s="443"/>
    </row>
    <row r="25" spans="2:24" ht="31.5" customHeight="1" thickBot="1">
      <c r="B25" s="382"/>
      <c r="C25" s="382"/>
      <c r="D25" s="382"/>
      <c r="E25" s="382"/>
      <c r="F25" s="382"/>
      <c r="G25" s="382"/>
      <c r="H25" s="382"/>
      <c r="I25" s="385"/>
      <c r="J25" s="385"/>
      <c r="K25" s="385"/>
      <c r="L25" s="385"/>
      <c r="M25" s="437"/>
      <c r="N25" s="444"/>
      <c r="O25" s="106"/>
      <c r="P25" s="106"/>
      <c r="Q25" s="106"/>
      <c r="R25" s="106"/>
      <c r="S25" s="106"/>
      <c r="T25" s="106"/>
      <c r="U25" s="106"/>
      <c r="V25" s="106"/>
      <c r="W25" s="106"/>
      <c r="X25" s="443"/>
    </row>
    <row r="26" spans="2:24" ht="31.5" customHeight="1" thickBot="1">
      <c r="B26" s="382"/>
      <c r="C26" s="382"/>
      <c r="D26" s="382"/>
      <c r="E26" s="382"/>
      <c r="F26" s="382"/>
      <c r="G26" s="382"/>
      <c r="H26" s="382"/>
      <c r="I26" s="385"/>
      <c r="J26" s="385"/>
      <c r="K26" s="385"/>
      <c r="L26" s="385"/>
      <c r="M26" s="437"/>
      <c r="N26" s="445"/>
      <c r="O26" s="446"/>
      <c r="P26" s="446"/>
      <c r="Q26" s="446"/>
      <c r="R26" s="446"/>
      <c r="S26" s="446"/>
      <c r="T26" s="446"/>
      <c r="U26" s="446"/>
      <c r="V26" s="446"/>
      <c r="W26" s="446"/>
      <c r="X26" s="447"/>
    </row>
    <row r="27" spans="2:24" ht="15.75" thickBot="1"/>
    <row r="28" spans="2:24" ht="15.75" customHeight="1" thickBot="1">
      <c r="B28" s="674" t="s">
        <v>1403</v>
      </c>
      <c r="C28" s="675"/>
      <c r="D28" s="675"/>
      <c r="E28" s="675"/>
      <c r="F28" s="675"/>
      <c r="G28" s="675"/>
      <c r="H28" s="675"/>
      <c r="I28" s="675"/>
      <c r="J28" s="675"/>
      <c r="K28" s="675"/>
      <c r="L28" s="675"/>
      <c r="M28" s="676"/>
    </row>
    <row r="29" spans="2:24" ht="409.6" customHeight="1" thickBot="1">
      <c r="B29" s="670" t="s">
        <v>1469</v>
      </c>
      <c r="C29" s="672" t="s">
        <v>1470</v>
      </c>
      <c r="D29" s="448" t="s">
        <v>1471</v>
      </c>
      <c r="E29" s="448" t="s">
        <v>1472</v>
      </c>
      <c r="F29" s="448" t="s">
        <v>1473</v>
      </c>
      <c r="G29" s="448" t="s">
        <v>1474</v>
      </c>
      <c r="H29" s="448" t="s">
        <v>1475</v>
      </c>
      <c r="I29" s="448" t="s">
        <v>1476</v>
      </c>
      <c r="J29" s="448">
        <v>0</v>
      </c>
      <c r="K29" s="448">
        <v>0</v>
      </c>
      <c r="L29" s="449" t="s">
        <v>1477</v>
      </c>
      <c r="M29" s="450" t="s">
        <v>1478</v>
      </c>
      <c r="N29" s="448" t="s">
        <v>1479</v>
      </c>
      <c r="O29" s="448" t="s">
        <v>1480</v>
      </c>
      <c r="P29" s="448" t="s">
        <v>1481</v>
      </c>
      <c r="Q29" s="448" t="s">
        <v>1482</v>
      </c>
      <c r="R29" s="448" t="s">
        <v>1483</v>
      </c>
      <c r="S29" s="448" t="s">
        <v>1484</v>
      </c>
      <c r="T29" s="448" t="s">
        <v>1485</v>
      </c>
      <c r="U29" s="448" t="s">
        <v>1486</v>
      </c>
      <c r="V29" s="448" t="s">
        <v>1487</v>
      </c>
      <c r="W29" s="448" t="s">
        <v>1488</v>
      </c>
      <c r="X29" s="448" t="s">
        <v>1489</v>
      </c>
    </row>
    <row r="30" spans="2:24" ht="255" customHeight="1" thickBot="1">
      <c r="B30" s="671"/>
      <c r="C30" s="673"/>
      <c r="D30" s="451" t="s">
        <v>1490</v>
      </c>
      <c r="E30" s="451" t="s">
        <v>1491</v>
      </c>
      <c r="F30" s="451" t="s">
        <v>1492</v>
      </c>
      <c r="G30" s="451" t="s">
        <v>1493</v>
      </c>
      <c r="H30" s="451" t="s">
        <v>1494</v>
      </c>
      <c r="I30" s="451" t="s">
        <v>1491</v>
      </c>
      <c r="J30" s="451">
        <v>0</v>
      </c>
      <c r="K30" s="451">
        <v>0</v>
      </c>
      <c r="L30" s="451">
        <v>14</v>
      </c>
      <c r="M30" s="451">
        <v>14</v>
      </c>
      <c r="N30" s="452" t="s">
        <v>1479</v>
      </c>
      <c r="O30" s="451" t="s">
        <v>1495</v>
      </c>
      <c r="P30" s="451" t="s">
        <v>1496</v>
      </c>
      <c r="Q30" s="451" t="s">
        <v>1482</v>
      </c>
      <c r="R30" s="451" t="s">
        <v>1483</v>
      </c>
      <c r="S30" s="451" t="s">
        <v>1497</v>
      </c>
      <c r="T30" s="451" t="s">
        <v>1498</v>
      </c>
      <c r="U30" s="451" t="s">
        <v>1499</v>
      </c>
      <c r="V30" s="451" t="s">
        <v>1500</v>
      </c>
      <c r="W30" s="451" t="s">
        <v>1488</v>
      </c>
      <c r="X30" s="451" t="s">
        <v>1489</v>
      </c>
    </row>
    <row r="31" spans="2:24" ht="347.25" thickBot="1">
      <c r="B31" s="671"/>
      <c r="C31" s="673"/>
      <c r="D31" s="451" t="s">
        <v>1501</v>
      </c>
      <c r="E31" s="451" t="s">
        <v>1502</v>
      </c>
      <c r="F31" s="451" t="s">
        <v>1503</v>
      </c>
      <c r="G31" s="451" t="s">
        <v>1504</v>
      </c>
      <c r="H31" s="451" t="s">
        <v>1505</v>
      </c>
      <c r="I31" s="451" t="s">
        <v>1506</v>
      </c>
      <c r="J31" s="451">
        <v>0</v>
      </c>
      <c r="K31" s="451">
        <v>0</v>
      </c>
      <c r="L31" s="451" t="s">
        <v>1507</v>
      </c>
      <c r="M31" s="451" t="s">
        <v>1508</v>
      </c>
      <c r="N31" s="453" t="s">
        <v>1509</v>
      </c>
      <c r="O31" s="451" t="s">
        <v>1510</v>
      </c>
      <c r="P31" s="451" t="s">
        <v>1511</v>
      </c>
      <c r="Q31" s="451" t="s">
        <v>1512</v>
      </c>
      <c r="R31" s="451" t="s">
        <v>1513</v>
      </c>
      <c r="S31" s="451" t="s">
        <v>1514</v>
      </c>
      <c r="T31" s="451" t="s">
        <v>1515</v>
      </c>
      <c r="U31" s="451" t="s">
        <v>1516</v>
      </c>
      <c r="V31" s="451" t="s">
        <v>1517</v>
      </c>
      <c r="W31" s="451" t="s">
        <v>1518</v>
      </c>
      <c r="X31" s="451" t="s">
        <v>1519</v>
      </c>
    </row>
    <row r="32" spans="2:24" ht="409.5" customHeight="1" thickBot="1">
      <c r="B32" s="671"/>
      <c r="C32" s="673"/>
      <c r="D32" s="451" t="s">
        <v>1520</v>
      </c>
      <c r="E32" s="454" t="s">
        <v>1521</v>
      </c>
      <c r="F32" s="454" t="s">
        <v>1522</v>
      </c>
      <c r="G32" s="454" t="s">
        <v>1523</v>
      </c>
      <c r="H32" s="454" t="s">
        <v>1524</v>
      </c>
      <c r="I32" s="454" t="s">
        <v>1525</v>
      </c>
      <c r="J32" s="454">
        <v>0</v>
      </c>
      <c r="K32" s="454">
        <v>0</v>
      </c>
      <c r="L32" s="454" t="s">
        <v>1524</v>
      </c>
      <c r="M32" s="454" t="s">
        <v>1525</v>
      </c>
      <c r="N32" s="454" t="s">
        <v>1526</v>
      </c>
      <c r="O32" s="454" t="s">
        <v>1527</v>
      </c>
      <c r="P32" s="454" t="s">
        <v>1528</v>
      </c>
      <c r="Q32" s="454" t="s">
        <v>1482</v>
      </c>
      <c r="R32" s="454" t="s">
        <v>1483</v>
      </c>
      <c r="S32" s="454" t="s">
        <v>1529</v>
      </c>
      <c r="T32" s="454" t="s">
        <v>1530</v>
      </c>
      <c r="U32" s="454" t="s">
        <v>1531</v>
      </c>
      <c r="V32" s="454" t="s">
        <v>1500</v>
      </c>
      <c r="W32" s="454" t="s">
        <v>1532</v>
      </c>
      <c r="X32" s="454" t="s">
        <v>1533</v>
      </c>
    </row>
    <row r="186" ht="57.95" customHeight="1"/>
    <row r="240" ht="81.95" customHeight="1"/>
    <row r="275" ht="53.45" customHeight="1"/>
    <row r="276" ht="50.45" customHeight="1"/>
    <row r="287" ht="42.6" customHeight="1"/>
    <row r="288" ht="48.95" customHeight="1"/>
    <row r="289" ht="51.6" customHeight="1"/>
    <row r="290" ht="48.95" customHeight="1"/>
    <row r="304" ht="60.6" customHeight="1"/>
    <row r="688" ht="101.45" customHeight="1"/>
    <row r="689" ht="89.45" customHeight="1"/>
    <row r="690" ht="96.95" customHeight="1"/>
    <row r="691" ht="45.95" customHeight="1"/>
    <row r="692" ht="75" customHeight="1"/>
    <row r="693" ht="363.6" customHeight="1"/>
    <row r="694" ht="70.5" customHeight="1"/>
    <row r="695" ht="68.099999999999994" customHeight="1"/>
    <row r="696" ht="188.1" customHeight="1"/>
    <row r="697" ht="405.75" customHeight="1"/>
    <row r="698" ht="134.44999999999999" customHeight="1"/>
    <row r="699" ht="167.1" customHeight="1"/>
    <row r="700" ht="51" customHeight="1"/>
    <row r="701" ht="60.6" customHeight="1"/>
    <row r="702" ht="108" customHeight="1"/>
  </sheetData>
  <mergeCells count="7">
    <mergeCell ref="B29:B32"/>
    <mergeCell ref="C29:C32"/>
    <mergeCell ref="B2:X2"/>
    <mergeCell ref="H3:M3"/>
    <mergeCell ref="B5:M5"/>
    <mergeCell ref="B21:M21"/>
    <mergeCell ref="B28:M28"/>
  </mergeCells>
  <conditionalFormatting sqref="E6">
    <cfRule type="containsBlanks" dxfId="14" priority="1">
      <formula>LEN(TRIM(E6))=0</formula>
    </cfRule>
  </conditionalFormatting>
  <pageMargins left="0.70866141732283472" right="0.70866141732283472" top="0.74803149606299213" bottom="0.74803149606299213" header="0.31496062992125984" footer="0.31496062992125984"/>
  <pageSetup paperSize="9" scale="2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5EDE-3CF8-47E1-869D-C1AEFD163AE7}">
  <sheetPr>
    <pageSetUpPr fitToPage="1"/>
  </sheetPr>
  <dimension ref="B1:Y702"/>
  <sheetViews>
    <sheetView showGridLines="0" topLeftCell="D1" zoomScale="85" zoomScaleNormal="85" workbookViewId="0">
      <pane ySplit="5" topLeftCell="A11" activePane="bottomLeft" state="frozen"/>
      <selection pane="bottomLeft" activeCell="S13" sqref="A1:XFD1048576"/>
    </sheetView>
  </sheetViews>
  <sheetFormatPr defaultRowHeight="15"/>
  <cols>
    <col min="1" max="1" width="2.42578125" customWidth="1"/>
    <col min="2" max="2" width="29.5703125" customWidth="1"/>
    <col min="3" max="3" width="44.5703125" hidden="1" customWidth="1"/>
    <col min="4" max="4" width="21.28515625" customWidth="1"/>
    <col min="5" max="5" width="23.85546875" hidden="1" customWidth="1"/>
    <col min="6" max="6" width="21.140625" customWidth="1"/>
    <col min="7" max="7" width="34.140625" hidden="1" customWidth="1"/>
    <col min="8" max="8" width="19.7109375" customWidth="1"/>
    <col min="9" max="9" width="18.5703125" hidden="1" customWidth="1"/>
    <col min="10" max="10" width="22" customWidth="1"/>
    <col min="11" max="11" width="25.85546875" hidden="1" customWidth="1"/>
    <col min="12" max="12" width="26.7109375" customWidth="1"/>
    <col min="13" max="13" width="19.140625" hidden="1" customWidth="1"/>
    <col min="14" max="14" width="14.42578125" bestFit="1" customWidth="1"/>
    <col min="15" max="15" width="16.28515625" customWidth="1"/>
    <col min="16" max="16" width="20" hidden="1" customWidth="1"/>
    <col min="17" max="17" width="21.28515625" customWidth="1"/>
    <col min="18" max="18" width="28.140625" hidden="1" customWidth="1"/>
    <col min="19" max="19" width="31.28515625" customWidth="1"/>
    <col min="20" max="20" width="30.85546875" hidden="1" customWidth="1"/>
    <col min="21" max="21" width="13.85546875" customWidth="1"/>
    <col min="22" max="22" width="13.85546875" hidden="1" customWidth="1"/>
    <col min="23" max="23" width="33.42578125" customWidth="1"/>
    <col min="24" max="24" width="30.7109375" hidden="1" customWidth="1"/>
  </cols>
  <sheetData>
    <row r="1" spans="2:25" ht="15.75" thickBot="1"/>
    <row r="2" spans="2:25" ht="16.5" customHeight="1"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5" ht="67.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5" ht="29.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5" ht="15.75" customHeight="1" thickBot="1">
      <c r="B5" s="658" t="s">
        <v>1534</v>
      </c>
      <c r="C5" s="659"/>
      <c r="D5" s="659"/>
      <c r="E5" s="659"/>
      <c r="F5" s="659"/>
      <c r="G5" s="659"/>
      <c r="H5" s="659"/>
      <c r="I5" s="659"/>
      <c r="J5" s="659"/>
      <c r="K5" s="659"/>
      <c r="L5" s="659"/>
      <c r="M5" s="660"/>
    </row>
    <row r="6" spans="2:25" ht="172.5" customHeight="1" thickBot="1">
      <c r="B6" s="382" t="s">
        <v>1535</v>
      </c>
      <c r="C6" s="382"/>
      <c r="D6" s="383" t="s">
        <v>1536</v>
      </c>
      <c r="E6" s="384"/>
      <c r="F6" s="455" t="s">
        <v>1537</v>
      </c>
      <c r="G6" s="455"/>
      <c r="H6" s="455" t="s">
        <v>509</v>
      </c>
      <c r="I6" s="455"/>
      <c r="J6" s="455">
        <v>0</v>
      </c>
      <c r="K6" s="455"/>
      <c r="L6" s="455">
        <v>52</v>
      </c>
      <c r="M6" s="384"/>
      <c r="N6" s="456">
        <v>44561</v>
      </c>
      <c r="O6" s="387" t="s">
        <v>1183</v>
      </c>
      <c r="P6" s="385" t="s">
        <v>1184</v>
      </c>
      <c r="Q6" s="385" t="s">
        <v>539</v>
      </c>
      <c r="R6" s="385"/>
      <c r="S6" s="385" t="s">
        <v>1538</v>
      </c>
      <c r="T6" s="385"/>
      <c r="U6" s="385" t="s">
        <v>1539</v>
      </c>
      <c r="V6" s="385"/>
      <c r="W6" s="385" t="s">
        <v>1540</v>
      </c>
      <c r="X6" s="385"/>
      <c r="Y6" t="s">
        <v>1541</v>
      </c>
    </row>
    <row r="7" spans="2:25" ht="172.5" customHeight="1" thickBot="1">
      <c r="B7" s="382" t="s">
        <v>1535</v>
      </c>
      <c r="C7" s="382"/>
      <c r="D7" s="383" t="s">
        <v>1536</v>
      </c>
      <c r="E7" s="384"/>
      <c r="F7" s="455" t="s">
        <v>1537</v>
      </c>
      <c r="G7" s="455"/>
      <c r="H7" s="455" t="s">
        <v>509</v>
      </c>
      <c r="I7" s="455"/>
      <c r="J7" s="455">
        <v>52</v>
      </c>
      <c r="K7" s="455"/>
      <c r="L7" s="455">
        <v>141</v>
      </c>
      <c r="M7" s="384"/>
      <c r="N7" s="456">
        <v>44926</v>
      </c>
      <c r="O7" s="387" t="s">
        <v>1183</v>
      </c>
      <c r="P7" s="385" t="s">
        <v>1184</v>
      </c>
      <c r="Q7" s="385" t="s">
        <v>539</v>
      </c>
      <c r="R7" s="385"/>
      <c r="S7" s="385" t="s">
        <v>1538</v>
      </c>
      <c r="T7" s="385"/>
      <c r="U7" s="385" t="s">
        <v>1539</v>
      </c>
      <c r="V7" s="385"/>
      <c r="W7" s="385" t="s">
        <v>1540</v>
      </c>
      <c r="X7" s="385"/>
    </row>
    <row r="8" spans="2:25" ht="172.5" customHeight="1" thickBot="1">
      <c r="B8" s="382" t="s">
        <v>1535</v>
      </c>
      <c r="C8" s="382"/>
      <c r="D8" s="383" t="s">
        <v>1536</v>
      </c>
      <c r="E8" s="384"/>
      <c r="F8" s="455" t="s">
        <v>1537</v>
      </c>
      <c r="G8" s="455"/>
      <c r="H8" s="455" t="s">
        <v>509</v>
      </c>
      <c r="I8" s="455"/>
      <c r="J8" s="455">
        <v>141</v>
      </c>
      <c r="K8" s="455"/>
      <c r="L8" s="455">
        <v>260</v>
      </c>
      <c r="M8" s="384"/>
      <c r="N8" s="456">
        <v>45291</v>
      </c>
      <c r="O8" s="387" t="s">
        <v>1183</v>
      </c>
      <c r="P8" s="385" t="s">
        <v>1184</v>
      </c>
      <c r="Q8" s="385" t="s">
        <v>539</v>
      </c>
      <c r="R8" s="385"/>
      <c r="S8" s="385" t="s">
        <v>1538</v>
      </c>
      <c r="T8" s="385"/>
      <c r="U8" s="385" t="s">
        <v>1539</v>
      </c>
      <c r="V8" s="385"/>
      <c r="W8" s="385" t="s">
        <v>1540</v>
      </c>
      <c r="X8" s="385"/>
    </row>
    <row r="9" spans="2:25" ht="172.5" customHeight="1" thickBot="1">
      <c r="B9" s="382" t="s">
        <v>1535</v>
      </c>
      <c r="C9" s="382"/>
      <c r="D9" s="383" t="s">
        <v>1542</v>
      </c>
      <c r="E9" s="384"/>
      <c r="F9" s="455" t="s">
        <v>1543</v>
      </c>
      <c r="G9" s="455"/>
      <c r="H9" s="455" t="s">
        <v>509</v>
      </c>
      <c r="I9" s="455"/>
      <c r="J9" s="455">
        <v>0</v>
      </c>
      <c r="K9" s="455"/>
      <c r="L9" s="455">
        <v>260</v>
      </c>
      <c r="M9" s="384"/>
      <c r="N9" s="456">
        <v>46112</v>
      </c>
      <c r="O9" s="387" t="s">
        <v>1183</v>
      </c>
      <c r="P9" s="385" t="s">
        <v>1184</v>
      </c>
      <c r="Q9" s="385" t="s">
        <v>539</v>
      </c>
      <c r="R9" s="385"/>
      <c r="S9" s="385" t="s">
        <v>1544</v>
      </c>
      <c r="T9" s="385"/>
      <c r="U9" s="385" t="s">
        <v>1539</v>
      </c>
      <c r="V9" s="385"/>
      <c r="W9" s="385" t="s">
        <v>1540</v>
      </c>
      <c r="X9" s="385"/>
    </row>
    <row r="10" spans="2:25" ht="129" customHeight="1" thickBot="1">
      <c r="B10" s="382" t="s">
        <v>1898</v>
      </c>
      <c r="C10" s="382" t="s">
        <v>1899</v>
      </c>
      <c r="D10" s="383" t="s">
        <v>1545</v>
      </c>
      <c r="E10" s="384" t="s">
        <v>1546</v>
      </c>
      <c r="F10" s="455" t="s">
        <v>1547</v>
      </c>
      <c r="G10" s="455"/>
      <c r="H10" s="455" t="s">
        <v>778</v>
      </c>
      <c r="I10" s="455" t="s">
        <v>1181</v>
      </c>
      <c r="J10" s="455">
        <v>0</v>
      </c>
      <c r="K10" s="455">
        <v>0</v>
      </c>
      <c r="L10" s="455">
        <v>56</v>
      </c>
      <c r="M10" s="384">
        <v>1</v>
      </c>
      <c r="N10" s="456">
        <v>45748</v>
      </c>
      <c r="O10" s="387" t="s">
        <v>1183</v>
      </c>
      <c r="P10" s="385" t="s">
        <v>1184</v>
      </c>
      <c r="Q10" s="385" t="s">
        <v>539</v>
      </c>
      <c r="R10" s="385" t="s">
        <v>1548</v>
      </c>
      <c r="S10" s="385" t="s">
        <v>1549</v>
      </c>
      <c r="T10" s="385"/>
      <c r="U10" s="385" t="s">
        <v>1550</v>
      </c>
      <c r="V10" s="382"/>
      <c r="W10" s="385" t="s">
        <v>1540</v>
      </c>
      <c r="X10" s="385" t="s">
        <v>1551</v>
      </c>
    </row>
    <row r="11" spans="2:25" ht="129" customHeight="1" thickBot="1">
      <c r="B11" s="382" t="s">
        <v>1898</v>
      </c>
      <c r="C11" s="382" t="s">
        <v>1900</v>
      </c>
      <c r="D11" s="382" t="s">
        <v>1552</v>
      </c>
      <c r="E11" s="386" t="s">
        <v>1553</v>
      </c>
      <c r="F11" s="455" t="s">
        <v>1554</v>
      </c>
      <c r="G11" s="455"/>
      <c r="H11" s="455" t="s">
        <v>778</v>
      </c>
      <c r="I11" s="455" t="s">
        <v>1181</v>
      </c>
      <c r="J11" s="455">
        <v>0</v>
      </c>
      <c r="K11" s="455">
        <v>0</v>
      </c>
      <c r="L11" s="455">
        <v>8</v>
      </c>
      <c r="M11" s="384">
        <v>1</v>
      </c>
      <c r="N11" s="456">
        <v>45748</v>
      </c>
      <c r="O11" s="387" t="s">
        <v>1183</v>
      </c>
      <c r="P11" s="385" t="s">
        <v>1184</v>
      </c>
      <c r="Q11" s="385" t="s">
        <v>539</v>
      </c>
      <c r="R11" s="385" t="s">
        <v>1548</v>
      </c>
      <c r="S11" s="385" t="s">
        <v>1555</v>
      </c>
      <c r="T11" s="385"/>
      <c r="U11" s="385" t="s">
        <v>1550</v>
      </c>
      <c r="V11" s="385"/>
      <c r="W11" s="385" t="s">
        <v>1540</v>
      </c>
      <c r="X11" s="385"/>
    </row>
    <row r="12" spans="2:25" ht="129" customHeight="1" thickBot="1">
      <c r="B12" s="382" t="s">
        <v>1898</v>
      </c>
      <c r="C12" s="382" t="s">
        <v>1899</v>
      </c>
      <c r="D12" s="382" t="s">
        <v>1556</v>
      </c>
      <c r="E12" s="386" t="s">
        <v>1553</v>
      </c>
      <c r="F12" s="455" t="s">
        <v>1557</v>
      </c>
      <c r="G12" s="455"/>
      <c r="H12" s="455" t="s">
        <v>778</v>
      </c>
      <c r="I12" s="455" t="s">
        <v>1181</v>
      </c>
      <c r="J12" s="455">
        <v>0</v>
      </c>
      <c r="K12" s="455">
        <v>0</v>
      </c>
      <c r="L12" s="455">
        <v>1</v>
      </c>
      <c r="M12" s="384">
        <v>1</v>
      </c>
      <c r="N12" s="456">
        <v>44551</v>
      </c>
      <c r="O12" s="387" t="s">
        <v>1183</v>
      </c>
      <c r="P12" s="385" t="s">
        <v>1184</v>
      </c>
      <c r="Q12" s="385" t="s">
        <v>539</v>
      </c>
      <c r="R12" s="385" t="s">
        <v>1548</v>
      </c>
      <c r="S12" s="385" t="s">
        <v>1558</v>
      </c>
      <c r="T12" s="385"/>
      <c r="U12" s="385" t="s">
        <v>1550</v>
      </c>
      <c r="V12" s="385"/>
      <c r="W12" s="385" t="s">
        <v>1540</v>
      </c>
      <c r="X12" s="385" t="s">
        <v>1559</v>
      </c>
    </row>
    <row r="13" spans="2:25" s="146" customFormat="1"/>
    <row r="14" spans="2:25" s="146" customFormat="1"/>
    <row r="15" spans="2:25" s="146" customFormat="1"/>
    <row r="16" spans="2:25" s="146" customFormat="1"/>
    <row r="17" spans="2:2" s="146" customFormat="1"/>
    <row r="18" spans="2:2" s="146" customFormat="1"/>
    <row r="19" spans="2:2" s="146" customFormat="1"/>
    <row r="20" spans="2:2" s="146" customFormat="1"/>
    <row r="21" spans="2:2" s="146" customFormat="1"/>
    <row r="22" spans="2:2" s="146" customFormat="1"/>
    <row r="23" spans="2:2" s="146" customFormat="1"/>
    <row r="24" spans="2:2" s="146" customFormat="1"/>
    <row r="25" spans="2:2" s="146" customFormat="1"/>
    <row r="26" spans="2:2" s="146" customFormat="1"/>
    <row r="27" spans="2:2" s="146" customFormat="1"/>
    <row r="28" spans="2:2" s="146" customFormat="1"/>
    <row r="29" spans="2:2" s="146" customFormat="1"/>
    <row r="30" spans="2:2" s="146" customFormat="1"/>
    <row r="31" spans="2:2" s="146" customFormat="1"/>
    <row r="32" spans="2:2" s="146" customFormat="1">
      <c r="B32"/>
    </row>
    <row r="186" ht="57.95" customHeight="1"/>
    <row r="240" ht="81.95" customHeight="1"/>
    <row r="275" ht="53.45" customHeight="1"/>
    <row r="276" ht="50.45" customHeight="1"/>
    <row r="287" ht="42.6" customHeight="1"/>
    <row r="288" ht="48.95" customHeight="1"/>
    <row r="289" ht="51.6" customHeight="1"/>
    <row r="290" ht="48.95" customHeight="1"/>
    <row r="304" ht="60.6" customHeight="1"/>
    <row r="688" ht="101.45" customHeight="1"/>
    <row r="689" ht="89.45" customHeight="1"/>
    <row r="690" ht="96.95" customHeight="1"/>
    <row r="691" ht="45.95" customHeight="1"/>
    <row r="692" ht="75" customHeight="1"/>
    <row r="693" ht="363.6" customHeight="1"/>
    <row r="694" ht="70.5" customHeight="1"/>
    <row r="695" ht="68.099999999999994" customHeight="1"/>
    <row r="696" ht="188.1" customHeight="1"/>
    <row r="697" ht="405.75" customHeight="1"/>
    <row r="698" ht="134.44999999999999" customHeight="1"/>
    <row r="699" ht="167.1" customHeight="1"/>
    <row r="700" ht="51" customHeight="1"/>
    <row r="701" ht="60.6" customHeight="1"/>
    <row r="702" ht="108" customHeight="1"/>
  </sheetData>
  <mergeCells count="3">
    <mergeCell ref="B2:X2"/>
    <mergeCell ref="H3:M3"/>
    <mergeCell ref="B5:M5"/>
  </mergeCells>
  <conditionalFormatting sqref="F10:T10 N6:N9 U6:U7 F12:T12 V10:W10 V12:W12">
    <cfRule type="containsBlanks" dxfId="13" priority="7">
      <formula>LEN(TRIM(F6))=0</formula>
    </cfRule>
  </conditionalFormatting>
  <conditionalFormatting sqref="U8">
    <cfRule type="containsBlanks" dxfId="12" priority="6">
      <formula>LEN(TRIM(U8))=0</formula>
    </cfRule>
  </conditionalFormatting>
  <conditionalFormatting sqref="U9">
    <cfRule type="containsBlanks" dxfId="11" priority="5">
      <formula>LEN(TRIM(U9))=0</formula>
    </cfRule>
  </conditionalFormatting>
  <conditionalFormatting sqref="F11:T11 V11:W11">
    <cfRule type="containsBlanks" dxfId="10" priority="4">
      <formula>LEN(TRIM(F11))=0</formula>
    </cfRule>
  </conditionalFormatting>
  <conditionalFormatting sqref="U10">
    <cfRule type="containsBlanks" dxfId="9" priority="3">
      <formula>LEN(TRIM(U10))=0</formula>
    </cfRule>
  </conditionalFormatting>
  <conditionalFormatting sqref="U11">
    <cfRule type="containsBlanks" dxfId="8" priority="2">
      <formula>LEN(TRIM(U11))=0</formula>
    </cfRule>
  </conditionalFormatting>
  <conditionalFormatting sqref="U12">
    <cfRule type="containsBlanks" dxfId="7" priority="1">
      <formula>LEN(TRIM(U12))=0</formula>
    </cfRule>
  </conditionalFormatting>
  <pageMargins left="0.7" right="0.7" top="0.75" bottom="0.75" header="0.3" footer="0.3"/>
  <pageSetup paperSize="8" scale="64" fitToHeight="0" orientation="landscape"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1AEED-A817-45A0-A99D-C1C9F784154C}">
  <dimension ref="B1:X731"/>
  <sheetViews>
    <sheetView showGridLines="0" zoomScaleNormal="100" workbookViewId="0">
      <selection activeCell="B6" sqref="B6"/>
    </sheetView>
  </sheetViews>
  <sheetFormatPr defaultRowHeight="15"/>
  <cols>
    <col min="1" max="1" width="2.42578125" customWidth="1"/>
    <col min="2" max="2" width="37.5703125" bestFit="1" customWidth="1"/>
    <col min="3" max="3" width="29.85546875" bestFit="1" customWidth="1"/>
    <col min="4" max="4" width="30.85546875" bestFit="1" customWidth="1"/>
    <col min="5" max="5" width="21.140625" bestFit="1" customWidth="1"/>
    <col min="6" max="6" width="28.28515625" customWidth="1"/>
    <col min="7" max="7" width="42.7109375" bestFit="1" customWidth="1"/>
    <col min="8" max="8" width="16.5703125" bestFit="1" customWidth="1"/>
    <col min="9" max="9" width="18.28515625" bestFit="1" customWidth="1"/>
    <col min="10" max="10" width="13" bestFit="1" customWidth="1"/>
    <col min="11" max="11" width="10.140625" bestFit="1" customWidth="1"/>
    <col min="12" max="12" width="8.28515625" customWidth="1"/>
    <col min="13" max="13" width="6.5703125" bestFit="1" customWidth="1"/>
    <col min="14" max="14" width="14.42578125" bestFit="1" customWidth="1"/>
    <col min="15" max="15" width="8.42578125" bestFit="1" customWidth="1"/>
    <col min="17" max="17" width="12" bestFit="1" customWidth="1"/>
    <col min="18" max="18" width="16.140625" bestFit="1" customWidth="1"/>
    <col min="19" max="19" width="90.42578125" bestFit="1" customWidth="1"/>
    <col min="20" max="20" width="16.5703125" bestFit="1" customWidth="1"/>
    <col min="21" max="21" width="11.7109375" customWidth="1"/>
    <col min="22" max="22" width="8.7109375" bestFit="1" customWidth="1"/>
    <col min="23" max="23" width="9" bestFit="1" customWidth="1"/>
    <col min="24" max="24" width="8.85546875" bestFit="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88.5" customHeight="1"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29.25" customHeight="1"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ustomHeight="1">
      <c r="B5" s="629" t="s">
        <v>1885</v>
      </c>
      <c r="C5" s="630"/>
      <c r="D5" s="630"/>
      <c r="E5" s="630"/>
      <c r="F5" s="630"/>
      <c r="G5" s="630"/>
      <c r="H5" s="630"/>
      <c r="I5" s="630"/>
      <c r="J5" s="630"/>
      <c r="K5" s="630"/>
      <c r="L5" s="630"/>
      <c r="M5" s="631"/>
    </row>
    <row r="6" spans="2:24" s="105" customFormat="1" ht="15.75">
      <c r="B6" s="22"/>
      <c r="C6" s="107"/>
      <c r="D6" s="26"/>
      <c r="E6" s="26"/>
      <c r="F6" s="26"/>
      <c r="G6" s="103"/>
      <c r="H6" s="107"/>
      <c r="I6" s="104"/>
      <c r="J6" s="104"/>
      <c r="K6" s="104"/>
      <c r="L6" s="104"/>
      <c r="M6" s="104"/>
      <c r="N6" s="26"/>
      <c r="O6" s="107"/>
      <c r="P6" s="107"/>
      <c r="Q6" s="107"/>
      <c r="R6" s="107"/>
      <c r="T6" s="107"/>
      <c r="U6" s="107"/>
      <c r="V6" s="107"/>
      <c r="W6" s="107"/>
      <c r="X6" s="107"/>
    </row>
    <row r="7" spans="2:24" ht="47.25">
      <c r="B7" s="22" t="s">
        <v>1560</v>
      </c>
      <c r="C7" s="106"/>
      <c r="D7" s="26" t="s">
        <v>1561</v>
      </c>
      <c r="E7" s="26"/>
      <c r="F7" s="26" t="s">
        <v>1562</v>
      </c>
      <c r="G7" s="103"/>
      <c r="H7" s="107"/>
      <c r="I7" s="104"/>
      <c r="J7" s="104"/>
      <c r="K7" s="104"/>
      <c r="L7" s="104"/>
      <c r="M7" s="104"/>
      <c r="N7" s="26" t="s">
        <v>153</v>
      </c>
      <c r="O7" s="106" t="s">
        <v>1563</v>
      </c>
      <c r="P7" s="106"/>
      <c r="Q7" s="106" t="s">
        <v>1563</v>
      </c>
      <c r="R7" s="106"/>
      <c r="S7" s="107" t="s">
        <v>1564</v>
      </c>
      <c r="T7" s="106"/>
      <c r="U7" s="107" t="s">
        <v>1565</v>
      </c>
      <c r="V7" s="106"/>
      <c r="W7" s="106"/>
      <c r="X7" s="106"/>
    </row>
    <row r="8" spans="2:24" ht="47.25">
      <c r="B8" s="22" t="s">
        <v>1560</v>
      </c>
      <c r="C8" s="106"/>
      <c r="D8" s="26" t="s">
        <v>1566</v>
      </c>
      <c r="E8" s="26"/>
      <c r="F8" s="26" t="s">
        <v>1567</v>
      </c>
      <c r="G8" s="103"/>
      <c r="H8" s="107"/>
      <c r="I8" s="104"/>
      <c r="J8" s="104"/>
      <c r="K8" s="104"/>
      <c r="L8" s="104"/>
      <c r="M8" s="104"/>
      <c r="N8" s="26" t="s">
        <v>153</v>
      </c>
      <c r="O8" s="106" t="s">
        <v>1563</v>
      </c>
      <c r="P8" s="106"/>
      <c r="Q8" s="106" t="s">
        <v>1563</v>
      </c>
      <c r="R8" s="106"/>
      <c r="S8" s="106" t="s">
        <v>1568</v>
      </c>
      <c r="T8" s="106"/>
      <c r="U8" s="107" t="s">
        <v>1569</v>
      </c>
      <c r="V8" s="106"/>
      <c r="W8" s="106"/>
      <c r="X8" s="106"/>
    </row>
    <row r="9" spans="2:24" ht="31.5">
      <c r="B9" s="22" t="s">
        <v>1560</v>
      </c>
      <c r="C9" s="106"/>
      <c r="D9" s="26" t="s">
        <v>1570</v>
      </c>
      <c r="E9" s="26"/>
      <c r="F9" s="26" t="s">
        <v>1571</v>
      </c>
      <c r="G9" s="103"/>
      <c r="H9" s="107"/>
      <c r="I9" s="104"/>
      <c r="J9" s="104"/>
      <c r="K9" s="104"/>
      <c r="L9" s="104"/>
      <c r="M9" s="104"/>
      <c r="N9" s="26" t="s">
        <v>192</v>
      </c>
      <c r="O9" s="106" t="s">
        <v>1563</v>
      </c>
      <c r="P9" s="106"/>
      <c r="Q9" s="106" t="s">
        <v>1563</v>
      </c>
      <c r="R9" s="106"/>
      <c r="S9" s="106" t="s">
        <v>1572</v>
      </c>
      <c r="T9" s="106"/>
      <c r="U9" s="107" t="s">
        <v>1573</v>
      </c>
      <c r="V9" s="106"/>
      <c r="W9" s="106"/>
      <c r="X9" s="106"/>
    </row>
    <row r="10" spans="2:24" ht="75">
      <c r="B10" s="22" t="s">
        <v>1560</v>
      </c>
      <c r="C10" s="106"/>
      <c r="D10" s="26" t="s">
        <v>1574</v>
      </c>
      <c r="E10" s="26"/>
      <c r="F10" s="26"/>
      <c r="G10" s="103"/>
      <c r="H10" s="107" t="s">
        <v>1575</v>
      </c>
      <c r="I10" s="104"/>
      <c r="J10" s="104">
        <v>0</v>
      </c>
      <c r="K10" s="104"/>
      <c r="L10" s="457">
        <v>15</v>
      </c>
      <c r="M10" s="104"/>
      <c r="N10" s="26" t="s">
        <v>142</v>
      </c>
      <c r="O10" s="106" t="s">
        <v>1563</v>
      </c>
      <c r="P10" s="106"/>
      <c r="Q10" s="106" t="s">
        <v>1563</v>
      </c>
      <c r="R10" s="106"/>
      <c r="S10" s="107" t="s">
        <v>1576</v>
      </c>
      <c r="T10" s="106"/>
      <c r="U10" s="107" t="s">
        <v>225</v>
      </c>
      <c r="V10" s="106"/>
      <c r="W10" s="107" t="s">
        <v>1577</v>
      </c>
      <c r="X10" s="106"/>
    </row>
    <row r="11" spans="2:24" ht="75">
      <c r="B11" s="22" t="s">
        <v>1560</v>
      </c>
      <c r="C11" s="106"/>
      <c r="D11" s="26" t="s">
        <v>1578</v>
      </c>
      <c r="E11" s="26"/>
      <c r="F11" s="26"/>
      <c r="G11" s="103"/>
      <c r="H11" s="107" t="s">
        <v>1575</v>
      </c>
      <c r="I11" s="104"/>
      <c r="J11" s="104">
        <v>0</v>
      </c>
      <c r="K11" s="104"/>
      <c r="L11" s="457">
        <v>30</v>
      </c>
      <c r="M11" s="104"/>
      <c r="N11" s="26" t="s">
        <v>171</v>
      </c>
      <c r="O11" s="106" t="s">
        <v>1563</v>
      </c>
      <c r="P11" s="106"/>
      <c r="Q11" s="106" t="s">
        <v>1563</v>
      </c>
      <c r="R11" s="106"/>
      <c r="S11" s="107" t="s">
        <v>1576</v>
      </c>
      <c r="T11" s="106"/>
      <c r="U11" s="107" t="s">
        <v>1579</v>
      </c>
      <c r="V11" s="106"/>
      <c r="W11" s="107" t="s">
        <v>1577</v>
      </c>
      <c r="X11" s="106"/>
    </row>
    <row r="12" spans="2:24" ht="75">
      <c r="B12" s="22" t="s">
        <v>1560</v>
      </c>
      <c r="C12" s="106"/>
      <c r="D12" s="26" t="s">
        <v>1580</v>
      </c>
      <c r="E12" s="26"/>
      <c r="F12" s="26"/>
      <c r="G12" s="103"/>
      <c r="H12" s="107" t="s">
        <v>1575</v>
      </c>
      <c r="I12" s="104"/>
      <c r="J12" s="104">
        <v>0</v>
      </c>
      <c r="K12" s="104"/>
      <c r="L12" s="398">
        <v>46</v>
      </c>
      <c r="M12" s="104"/>
      <c r="N12" s="26" t="s">
        <v>569</v>
      </c>
      <c r="O12" s="106" t="s">
        <v>1563</v>
      </c>
      <c r="P12" s="106"/>
      <c r="Q12" s="106" t="s">
        <v>1563</v>
      </c>
      <c r="R12" s="106"/>
      <c r="S12" s="107" t="s">
        <v>1576</v>
      </c>
      <c r="T12" s="106"/>
      <c r="U12" s="107" t="s">
        <v>1579</v>
      </c>
      <c r="V12" s="106"/>
      <c r="W12" s="107" t="s">
        <v>1577</v>
      </c>
      <c r="X12" s="106"/>
    </row>
    <row r="13" spans="2:24" ht="75">
      <c r="B13" s="22" t="s">
        <v>1560</v>
      </c>
      <c r="C13" s="106"/>
      <c r="D13" s="26" t="s">
        <v>1581</v>
      </c>
      <c r="E13" s="26"/>
      <c r="F13" s="26"/>
      <c r="G13" s="103"/>
      <c r="H13" s="107" t="s">
        <v>1575</v>
      </c>
      <c r="I13" s="104"/>
      <c r="J13" s="104">
        <v>0</v>
      </c>
      <c r="K13" s="104"/>
      <c r="L13" s="398">
        <v>62</v>
      </c>
      <c r="M13" s="104"/>
      <c r="N13" s="26" t="s">
        <v>312</v>
      </c>
      <c r="O13" s="106" t="s">
        <v>1563</v>
      </c>
      <c r="P13" s="106"/>
      <c r="Q13" s="106" t="s">
        <v>1563</v>
      </c>
      <c r="R13" s="106"/>
      <c r="S13" s="107" t="s">
        <v>1576</v>
      </c>
      <c r="T13" s="106"/>
      <c r="U13" s="107" t="s">
        <v>1579</v>
      </c>
      <c r="V13" s="106"/>
      <c r="W13" s="107" t="s">
        <v>1577</v>
      </c>
      <c r="X13" s="106"/>
    </row>
    <row r="14" spans="2:24" ht="75">
      <c r="B14" s="22" t="s">
        <v>1560</v>
      </c>
      <c r="C14" s="106"/>
      <c r="D14" s="26" t="s">
        <v>1582</v>
      </c>
      <c r="E14" s="106"/>
      <c r="F14" s="106"/>
      <c r="G14" s="103"/>
      <c r="H14" s="107" t="s">
        <v>1575</v>
      </c>
      <c r="I14" s="104"/>
      <c r="J14" s="104">
        <v>0</v>
      </c>
      <c r="K14" s="104"/>
      <c r="L14" s="398">
        <v>78</v>
      </c>
      <c r="M14" s="104"/>
      <c r="N14" s="26" t="s">
        <v>1583</v>
      </c>
      <c r="O14" s="106" t="s">
        <v>1563</v>
      </c>
      <c r="P14" s="106"/>
      <c r="Q14" s="106" t="s">
        <v>1563</v>
      </c>
      <c r="R14" s="106"/>
      <c r="S14" s="107" t="s">
        <v>1576</v>
      </c>
      <c r="T14" s="106"/>
      <c r="U14" s="107" t="s">
        <v>1579</v>
      </c>
      <c r="V14" s="106"/>
      <c r="W14" s="107" t="s">
        <v>1577</v>
      </c>
      <c r="X14" s="106"/>
    </row>
    <row r="15" spans="2:24" ht="75">
      <c r="B15" s="22" t="s">
        <v>1560</v>
      </c>
      <c r="C15" s="106"/>
      <c r="D15" s="26" t="s">
        <v>1584</v>
      </c>
      <c r="E15" s="106"/>
      <c r="F15" s="106"/>
      <c r="G15" s="103"/>
      <c r="H15" s="107" t="s">
        <v>1575</v>
      </c>
      <c r="I15" s="104"/>
      <c r="J15" s="104">
        <v>0</v>
      </c>
      <c r="K15" s="104"/>
      <c r="L15" s="398">
        <v>94</v>
      </c>
      <c r="M15" s="104"/>
      <c r="N15" s="26" t="s">
        <v>206</v>
      </c>
      <c r="O15" s="106" t="s">
        <v>1563</v>
      </c>
      <c r="P15" s="106"/>
      <c r="Q15" s="106" t="s">
        <v>1563</v>
      </c>
      <c r="R15" s="106"/>
      <c r="S15" s="107" t="s">
        <v>1576</v>
      </c>
      <c r="T15" s="106"/>
      <c r="U15" s="107" t="s">
        <v>1579</v>
      </c>
      <c r="V15" s="106"/>
      <c r="W15" s="107" t="s">
        <v>1577</v>
      </c>
      <c r="X15" s="106"/>
    </row>
    <row r="16" spans="2:24" ht="75">
      <c r="B16" s="22" t="s">
        <v>1560</v>
      </c>
      <c r="C16" s="106"/>
      <c r="D16" s="26" t="s">
        <v>1585</v>
      </c>
      <c r="E16" s="106"/>
      <c r="F16" s="106"/>
      <c r="G16" s="103"/>
      <c r="H16" s="107" t="s">
        <v>1575</v>
      </c>
      <c r="I16" s="104"/>
      <c r="J16" s="104"/>
      <c r="K16" s="104"/>
      <c r="L16" s="457">
        <v>110</v>
      </c>
      <c r="M16" s="104"/>
      <c r="N16" s="26" t="s">
        <v>497</v>
      </c>
      <c r="O16" s="106" t="s">
        <v>1563</v>
      </c>
      <c r="P16" s="106"/>
      <c r="Q16" s="106" t="s">
        <v>1563</v>
      </c>
      <c r="R16" s="106"/>
      <c r="S16" s="107" t="s">
        <v>1576</v>
      </c>
      <c r="T16" s="106"/>
      <c r="U16" s="107" t="s">
        <v>1579</v>
      </c>
      <c r="V16" s="106"/>
      <c r="W16" s="107" t="s">
        <v>1577</v>
      </c>
      <c r="X16" s="106"/>
    </row>
    <row r="17" spans="2:24" ht="75">
      <c r="B17" s="22" t="s">
        <v>1560</v>
      </c>
      <c r="C17" s="106"/>
      <c r="D17" s="26" t="s">
        <v>1586</v>
      </c>
      <c r="E17" s="106"/>
      <c r="F17" s="106"/>
      <c r="G17" s="103"/>
      <c r="H17" s="107" t="s">
        <v>1575</v>
      </c>
      <c r="I17" s="104"/>
      <c r="J17" s="104"/>
      <c r="K17" s="104"/>
      <c r="L17" s="457">
        <v>125</v>
      </c>
      <c r="M17" s="104"/>
      <c r="N17" s="26" t="s">
        <v>145</v>
      </c>
      <c r="O17" s="106" t="s">
        <v>1563</v>
      </c>
      <c r="P17" s="106"/>
      <c r="Q17" s="106" t="s">
        <v>1563</v>
      </c>
      <c r="R17" s="106"/>
      <c r="S17" s="107" t="s">
        <v>1576</v>
      </c>
      <c r="T17" s="106"/>
      <c r="U17" s="107" t="s">
        <v>1579</v>
      </c>
      <c r="V17" s="106"/>
      <c r="W17" s="107" t="s">
        <v>1577</v>
      </c>
      <c r="X17" s="106"/>
    </row>
    <row r="18" spans="2:24" ht="15.75">
      <c r="B18" s="26"/>
      <c r="C18" s="106"/>
      <c r="D18" s="26"/>
      <c r="E18" s="26"/>
      <c r="F18" s="26"/>
      <c r="G18" s="106"/>
      <c r="H18" s="106"/>
      <c r="I18" s="106"/>
      <c r="J18" s="106"/>
      <c r="K18" s="106"/>
      <c r="L18" s="106"/>
      <c r="M18" s="106"/>
      <c r="N18" s="26"/>
      <c r="O18" s="106"/>
      <c r="P18" s="106"/>
      <c r="Q18" s="106"/>
      <c r="R18" s="106"/>
      <c r="S18" s="106"/>
      <c r="T18" s="106"/>
      <c r="U18" s="106"/>
      <c r="V18" s="106"/>
      <c r="W18" s="106"/>
      <c r="X18" s="106"/>
    </row>
    <row r="19" spans="2:24" ht="15.75">
      <c r="B19" s="26"/>
      <c r="C19" s="106"/>
      <c r="D19" s="26"/>
      <c r="E19" s="26"/>
      <c r="F19" s="26"/>
      <c r="G19" s="103"/>
      <c r="H19" s="107"/>
      <c r="I19" s="104"/>
      <c r="J19" s="104"/>
      <c r="K19" s="104"/>
      <c r="L19" s="104"/>
      <c r="M19" s="104"/>
      <c r="N19" s="26"/>
      <c r="O19" s="106"/>
      <c r="P19" s="106"/>
      <c r="Q19" s="106"/>
      <c r="R19" s="106"/>
      <c r="S19" s="106"/>
      <c r="T19" s="106"/>
      <c r="U19" s="106"/>
      <c r="V19" s="106"/>
      <c r="W19" s="106"/>
      <c r="X19" s="106"/>
    </row>
    <row r="20" spans="2:24" ht="15.75">
      <c r="B20" s="26"/>
      <c r="C20" s="106"/>
      <c r="D20" s="26"/>
      <c r="E20" s="26"/>
      <c r="F20" s="26"/>
      <c r="G20" s="103"/>
      <c r="H20" s="107"/>
      <c r="I20" s="104"/>
      <c r="J20" s="104"/>
      <c r="K20" s="104"/>
      <c r="L20" s="104"/>
      <c r="M20" s="104"/>
      <c r="N20" s="26"/>
      <c r="O20" s="106"/>
      <c r="P20" s="106"/>
      <c r="Q20" s="106"/>
      <c r="R20" s="106"/>
      <c r="S20" s="106"/>
      <c r="T20" s="106"/>
      <c r="U20" s="106"/>
      <c r="V20" s="106"/>
      <c r="W20" s="106"/>
      <c r="X20" s="106"/>
    </row>
    <row r="21" spans="2:24" ht="15.75">
      <c r="B21" s="26"/>
      <c r="C21" s="106"/>
      <c r="D21" s="26"/>
      <c r="E21" s="26"/>
      <c r="F21" s="26"/>
      <c r="G21" s="103"/>
      <c r="H21" s="107"/>
      <c r="I21" s="104"/>
      <c r="J21" s="104"/>
      <c r="K21" s="104"/>
      <c r="L21" s="104"/>
      <c r="M21" s="104"/>
      <c r="N21" s="26"/>
      <c r="O21" s="106"/>
      <c r="P21" s="106"/>
      <c r="Q21" s="106"/>
      <c r="R21" s="106"/>
      <c r="S21" s="106"/>
      <c r="T21" s="106"/>
      <c r="U21" s="106"/>
      <c r="V21" s="106"/>
      <c r="W21" s="106"/>
      <c r="X21" s="106"/>
    </row>
    <row r="22" spans="2:24" ht="15.75">
      <c r="B22" s="26"/>
      <c r="C22" s="106"/>
      <c r="D22" s="26"/>
      <c r="E22" s="26"/>
      <c r="F22" s="26"/>
      <c r="G22" s="103"/>
      <c r="H22" s="107"/>
      <c r="I22" s="104"/>
      <c r="J22" s="104"/>
      <c r="K22" s="104"/>
      <c r="L22" s="104"/>
      <c r="M22" s="104"/>
      <c r="N22" s="26"/>
      <c r="O22" s="106"/>
      <c r="P22" s="106"/>
      <c r="Q22" s="106"/>
      <c r="R22" s="106"/>
      <c r="S22" s="106"/>
      <c r="T22" s="106"/>
      <c r="U22" s="106"/>
    </row>
    <row r="23" spans="2:24" ht="15.75">
      <c r="B23" s="26"/>
      <c r="C23" s="106"/>
      <c r="D23" s="26"/>
      <c r="E23" s="26"/>
      <c r="F23" s="26"/>
      <c r="G23" s="103"/>
      <c r="H23" s="107"/>
      <c r="I23" s="104"/>
      <c r="J23" s="104"/>
      <c r="K23" s="104"/>
      <c r="L23" s="104"/>
      <c r="M23" s="104"/>
      <c r="N23" s="26"/>
      <c r="O23" s="106"/>
      <c r="P23" s="106"/>
      <c r="Q23" s="106"/>
      <c r="R23" s="106"/>
      <c r="S23" s="106"/>
      <c r="T23" s="106"/>
      <c r="U23" s="106"/>
    </row>
    <row r="24" spans="2:24" ht="15.75">
      <c r="B24" s="106"/>
      <c r="C24" s="106"/>
      <c r="D24" s="26"/>
      <c r="E24" s="106"/>
      <c r="F24" s="106"/>
      <c r="G24" s="103"/>
      <c r="H24" s="107"/>
      <c r="I24" s="104"/>
      <c r="J24" s="104"/>
      <c r="K24" s="104"/>
      <c r="L24" s="104"/>
      <c r="M24" s="104"/>
      <c r="N24" s="26"/>
      <c r="O24" s="106"/>
      <c r="P24" s="106"/>
      <c r="Q24" s="106"/>
      <c r="R24" s="106"/>
      <c r="S24" s="106"/>
      <c r="T24" s="106"/>
      <c r="U24" s="106"/>
    </row>
    <row r="25" spans="2:24" ht="15.75">
      <c r="B25" s="106"/>
      <c r="C25" s="106"/>
      <c r="D25" s="26"/>
      <c r="E25" s="106"/>
      <c r="F25" s="106"/>
      <c r="G25" s="103"/>
      <c r="H25" s="107"/>
      <c r="I25" s="104"/>
      <c r="J25" s="104"/>
      <c r="K25" s="104"/>
      <c r="L25" s="104"/>
      <c r="M25" s="104"/>
      <c r="N25" s="26"/>
      <c r="O25" s="106"/>
      <c r="P25" s="106"/>
      <c r="Q25" s="106"/>
      <c r="R25" s="106"/>
      <c r="S25" s="106"/>
      <c r="T25" s="106"/>
      <c r="U25" s="106"/>
    </row>
    <row r="215" ht="57.95" customHeight="1"/>
    <row r="269" ht="81.95" customHeight="1"/>
    <row r="304" ht="53.45" customHeight="1"/>
    <row r="305" ht="50.45" customHeight="1"/>
    <row r="316" ht="42.6" customHeight="1"/>
    <row r="317" ht="48.95" customHeight="1"/>
    <row r="318" ht="51.6" customHeight="1"/>
    <row r="319" ht="48.95" customHeight="1"/>
    <row r="333" ht="60.6" customHeight="1"/>
    <row r="717" ht="101.45" customHeight="1"/>
    <row r="718" ht="89.45" customHeight="1"/>
    <row r="719" ht="96.95" customHeight="1"/>
    <row r="720" ht="45.95" customHeight="1"/>
    <row r="721" ht="75" customHeight="1"/>
    <row r="722" ht="363.6" customHeight="1"/>
    <row r="723" ht="70.5" customHeight="1"/>
    <row r="724" ht="68.099999999999994" customHeight="1"/>
    <row r="725" ht="188.1" customHeight="1"/>
    <row r="726" ht="405.75" customHeight="1"/>
    <row r="727" ht="134.44999999999999" customHeight="1"/>
    <row r="728" ht="167.1" customHeight="1"/>
    <row r="729" ht="51" customHeight="1"/>
    <row r="730" ht="60.6" customHeight="1"/>
    <row r="731" ht="108" customHeight="1"/>
  </sheetData>
  <mergeCells count="3">
    <mergeCell ref="B2:X2"/>
    <mergeCell ref="H3:M3"/>
    <mergeCell ref="B5:M5"/>
  </mergeCells>
  <pageMargins left="0.7" right="0.7" top="0.75" bottom="0.75" header="0.3" footer="0.3"/>
  <pageSetup paperSize="9" orientation="portrait"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6FBE-E9D4-4E8C-80BC-EBB4A4CB34C4}">
  <dimension ref="A1:X60"/>
  <sheetViews>
    <sheetView showGridLines="0" zoomScale="60" zoomScaleNormal="60" workbookViewId="0">
      <pane ySplit="4" topLeftCell="A5" activePane="bottomLeft" state="frozen"/>
      <selection pane="bottomLeft" activeCell="B6" sqref="B6"/>
    </sheetView>
  </sheetViews>
  <sheetFormatPr defaultColWidth="34.42578125" defaultRowHeight="15.75"/>
  <cols>
    <col min="1" max="1" width="20.42578125" style="458" customWidth="1"/>
    <col min="2" max="2" width="32.85546875" style="389" bestFit="1" customWidth="1"/>
    <col min="3" max="3" width="34.42578125" style="389" customWidth="1"/>
    <col min="4" max="4" width="42.85546875" style="389" customWidth="1"/>
    <col min="5" max="5" width="63.85546875" style="389" customWidth="1"/>
    <col min="6" max="6" width="48.42578125" style="389" customWidth="1"/>
    <col min="7" max="7" width="51.85546875" style="389" customWidth="1"/>
    <col min="8" max="8" width="15.5703125" style="389" customWidth="1"/>
    <col min="9" max="9" width="18" style="389" customWidth="1"/>
    <col min="10" max="10" width="25.85546875" style="389" customWidth="1"/>
    <col min="11" max="11" width="22" style="389" customWidth="1"/>
    <col min="12" max="12" width="25.42578125" style="389" customWidth="1"/>
    <col min="13" max="13" width="21.85546875" style="389" customWidth="1"/>
    <col min="14" max="14" width="37.140625" style="389" customWidth="1"/>
    <col min="15" max="16" width="32.42578125" style="389" customWidth="1"/>
    <col min="17" max="17" width="32.5703125" style="459" customWidth="1"/>
    <col min="18" max="18" width="37.140625" style="459" customWidth="1"/>
    <col min="19" max="19" width="48" style="459" bestFit="1" customWidth="1"/>
    <col min="20" max="20" width="54.5703125" style="459" bestFit="1" customWidth="1"/>
    <col min="21" max="21" width="53.140625" style="459" bestFit="1" customWidth="1"/>
    <col min="22" max="22" width="58.5703125" style="459" bestFit="1" customWidth="1"/>
    <col min="23" max="23" width="33.5703125" style="459" bestFit="1" customWidth="1"/>
    <col min="24" max="24" width="32.85546875" style="459" bestFit="1" customWidth="1"/>
    <col min="25" max="16384" width="34.42578125" style="389"/>
  </cols>
  <sheetData>
    <row r="1" spans="1:24" ht="16.5" thickBot="1"/>
    <row r="2" spans="1:24" ht="16.5" thickBot="1">
      <c r="B2" s="662" t="s">
        <v>0</v>
      </c>
      <c r="C2" s="663"/>
      <c r="D2" s="663"/>
      <c r="E2" s="663"/>
      <c r="F2" s="663"/>
      <c r="G2" s="663"/>
      <c r="H2" s="663"/>
      <c r="I2" s="663"/>
      <c r="J2" s="663"/>
      <c r="K2" s="663"/>
      <c r="L2" s="663"/>
      <c r="M2" s="663"/>
      <c r="N2" s="663"/>
      <c r="O2" s="663"/>
      <c r="P2" s="663"/>
      <c r="Q2" s="663"/>
      <c r="R2" s="663"/>
      <c r="S2" s="663"/>
      <c r="T2" s="663"/>
      <c r="U2" s="663"/>
      <c r="V2" s="663"/>
      <c r="W2" s="663"/>
      <c r="X2" s="664"/>
    </row>
    <row r="3" spans="1:24" ht="32.25" thickBot="1">
      <c r="B3" s="114" t="s">
        <v>1</v>
      </c>
      <c r="C3" s="87" t="s">
        <v>2</v>
      </c>
      <c r="D3" s="114" t="s">
        <v>3</v>
      </c>
      <c r="E3" s="87" t="s">
        <v>4</v>
      </c>
      <c r="F3" s="88" t="s">
        <v>5</v>
      </c>
      <c r="G3" s="115" t="s">
        <v>6</v>
      </c>
      <c r="H3" s="623" t="s">
        <v>7</v>
      </c>
      <c r="I3" s="624"/>
      <c r="J3" s="624"/>
      <c r="K3" s="624"/>
      <c r="L3" s="624"/>
      <c r="M3" s="625"/>
      <c r="N3" s="114" t="s">
        <v>8</v>
      </c>
      <c r="O3" s="116" t="s">
        <v>9</v>
      </c>
      <c r="P3" s="87" t="s">
        <v>10</v>
      </c>
      <c r="Q3" s="116" t="s">
        <v>11</v>
      </c>
      <c r="R3" s="87" t="s">
        <v>12</v>
      </c>
      <c r="S3" s="116" t="s">
        <v>13</v>
      </c>
      <c r="T3" s="87" t="s">
        <v>14</v>
      </c>
      <c r="U3" s="116" t="s">
        <v>15</v>
      </c>
      <c r="V3" s="87" t="s">
        <v>16</v>
      </c>
      <c r="W3" s="117" t="s">
        <v>17</v>
      </c>
      <c r="X3" s="115" t="s">
        <v>18</v>
      </c>
    </row>
    <row r="4" spans="1:24" ht="16.5" thickBot="1">
      <c r="B4" s="390"/>
      <c r="C4" s="391"/>
      <c r="D4" s="392"/>
      <c r="E4" s="391"/>
      <c r="F4" s="391"/>
      <c r="G4" s="391"/>
      <c r="H4" s="119" t="s">
        <v>19</v>
      </c>
      <c r="I4" s="97" t="s">
        <v>20</v>
      </c>
      <c r="J4" s="119" t="s">
        <v>21</v>
      </c>
      <c r="K4" s="97" t="s">
        <v>22</v>
      </c>
      <c r="L4" s="119" t="s">
        <v>23</v>
      </c>
      <c r="M4" s="97" t="s">
        <v>24</v>
      </c>
      <c r="N4" s="121"/>
      <c r="O4" s="391"/>
      <c r="P4" s="391"/>
      <c r="Q4" s="391"/>
      <c r="R4" s="391"/>
      <c r="S4" s="391"/>
      <c r="T4" s="393"/>
      <c r="U4" s="391"/>
      <c r="V4" s="391"/>
      <c r="W4" s="391"/>
      <c r="X4" s="391"/>
    </row>
    <row r="5" spans="1:24" ht="16.5" thickBot="1">
      <c r="B5" s="658" t="s">
        <v>1886</v>
      </c>
      <c r="C5" s="659"/>
      <c r="D5" s="659"/>
      <c r="E5" s="659"/>
      <c r="F5" s="659"/>
      <c r="G5" s="659"/>
      <c r="H5" s="659"/>
      <c r="I5" s="659"/>
      <c r="J5" s="659"/>
      <c r="K5" s="659"/>
      <c r="L5" s="659"/>
      <c r="M5" s="660"/>
    </row>
    <row r="6" spans="1:24" ht="95.25" thickBot="1">
      <c r="B6" s="460" t="s">
        <v>1587</v>
      </c>
      <c r="C6" s="460" t="s">
        <v>1588</v>
      </c>
      <c r="D6" s="461" t="s">
        <v>1589</v>
      </c>
      <c r="E6" s="462" t="s">
        <v>1590</v>
      </c>
      <c r="F6" s="463" t="s">
        <v>1591</v>
      </c>
      <c r="G6" s="464" t="s">
        <v>1592</v>
      </c>
      <c r="H6" s="464"/>
      <c r="I6" s="465"/>
      <c r="J6" s="464"/>
      <c r="K6" s="464"/>
      <c r="L6" s="464"/>
      <c r="M6" s="464"/>
      <c r="N6" s="466" t="s">
        <v>1593</v>
      </c>
      <c r="O6" s="467" t="s">
        <v>1594</v>
      </c>
      <c r="P6" s="467" t="s">
        <v>1595</v>
      </c>
      <c r="Q6" s="468" t="s">
        <v>1596</v>
      </c>
      <c r="R6" s="469" t="s">
        <v>1597</v>
      </c>
      <c r="S6" s="131" t="s">
        <v>1591</v>
      </c>
      <c r="T6" s="26" t="s">
        <v>1592</v>
      </c>
      <c r="U6" s="470" t="s">
        <v>1598</v>
      </c>
      <c r="V6" s="467" t="s">
        <v>1599</v>
      </c>
      <c r="W6" s="471" t="s">
        <v>1600</v>
      </c>
      <c r="X6" s="471" t="s">
        <v>1601</v>
      </c>
    </row>
    <row r="7" spans="1:24" ht="111" thickBot="1">
      <c r="B7" s="460" t="s">
        <v>1587</v>
      </c>
      <c r="C7" s="460" t="s">
        <v>1588</v>
      </c>
      <c r="D7" s="461" t="s">
        <v>1602</v>
      </c>
      <c r="E7" s="460" t="s">
        <v>1603</v>
      </c>
      <c r="F7" s="463" t="s">
        <v>1604</v>
      </c>
      <c r="G7" s="467" t="s">
        <v>1605</v>
      </c>
      <c r="H7" s="464"/>
      <c r="I7" s="465"/>
      <c r="J7" s="464"/>
      <c r="K7" s="464"/>
      <c r="L7" s="464"/>
      <c r="M7" s="464"/>
      <c r="N7" s="463" t="s">
        <v>1593</v>
      </c>
      <c r="O7" s="467" t="s">
        <v>1606</v>
      </c>
      <c r="P7" s="467" t="s">
        <v>1595</v>
      </c>
      <c r="Q7" s="468" t="s">
        <v>1596</v>
      </c>
      <c r="R7" s="467" t="s">
        <v>1597</v>
      </c>
      <c r="S7" s="463" t="s">
        <v>1604</v>
      </c>
      <c r="T7" s="472" t="s">
        <v>1605</v>
      </c>
      <c r="U7" s="467" t="s">
        <v>1607</v>
      </c>
      <c r="V7" s="467" t="s">
        <v>1608</v>
      </c>
      <c r="W7" s="467" t="s">
        <v>1609</v>
      </c>
      <c r="X7" s="467" t="s">
        <v>1610</v>
      </c>
    </row>
    <row r="8" spans="1:24" ht="111" thickBot="1">
      <c r="A8" s="677"/>
      <c r="B8" s="460" t="s">
        <v>1587</v>
      </c>
      <c r="C8" s="460" t="s">
        <v>1588</v>
      </c>
      <c r="D8" s="460" t="s">
        <v>1611</v>
      </c>
      <c r="E8" s="460" t="s">
        <v>1612</v>
      </c>
      <c r="F8" s="463"/>
      <c r="G8" s="464"/>
      <c r="H8" s="464" t="s">
        <v>1613</v>
      </c>
      <c r="I8" s="473" t="s">
        <v>1614</v>
      </c>
      <c r="J8" s="464" t="s">
        <v>1615</v>
      </c>
      <c r="K8" s="464" t="s">
        <v>1615</v>
      </c>
      <c r="L8" s="464" t="s">
        <v>1616</v>
      </c>
      <c r="M8" s="464" t="s">
        <v>1617</v>
      </c>
      <c r="N8" s="467" t="s">
        <v>1618</v>
      </c>
      <c r="O8" s="467" t="s">
        <v>1606</v>
      </c>
      <c r="P8" s="467" t="s">
        <v>1619</v>
      </c>
      <c r="Q8" s="468" t="s">
        <v>1596</v>
      </c>
      <c r="R8" s="467" t="s">
        <v>1597</v>
      </c>
      <c r="S8" s="474" t="s">
        <v>1620</v>
      </c>
      <c r="T8" s="467" t="s">
        <v>1621</v>
      </c>
      <c r="U8" s="467" t="s">
        <v>1622</v>
      </c>
      <c r="V8" s="467" t="s">
        <v>1623</v>
      </c>
      <c r="W8" s="467" t="s">
        <v>1624</v>
      </c>
      <c r="X8" s="467" t="s">
        <v>1625</v>
      </c>
    </row>
    <row r="9" spans="1:24" ht="95.25" thickBot="1">
      <c r="A9" s="677"/>
      <c r="B9" s="460" t="s">
        <v>1587</v>
      </c>
      <c r="C9" s="460" t="s">
        <v>1588</v>
      </c>
      <c r="D9" s="460" t="s">
        <v>1626</v>
      </c>
      <c r="E9" s="460" t="s">
        <v>1627</v>
      </c>
      <c r="F9" s="463"/>
      <c r="G9" s="464"/>
      <c r="H9" s="464" t="s">
        <v>1613</v>
      </c>
      <c r="I9" s="475" t="s">
        <v>1614</v>
      </c>
      <c r="J9" s="464" t="s">
        <v>1615</v>
      </c>
      <c r="K9" s="464" t="s">
        <v>1615</v>
      </c>
      <c r="L9" s="464" t="s">
        <v>1628</v>
      </c>
      <c r="M9" s="464" t="s">
        <v>1629</v>
      </c>
      <c r="N9" s="464" t="s">
        <v>1281</v>
      </c>
      <c r="O9" s="467" t="s">
        <v>1594</v>
      </c>
      <c r="P9" s="467" t="s">
        <v>1595</v>
      </c>
      <c r="Q9" s="468" t="s">
        <v>1596</v>
      </c>
      <c r="R9" s="467" t="s">
        <v>1597</v>
      </c>
      <c r="S9" s="468" t="s">
        <v>1630</v>
      </c>
      <c r="T9" s="467" t="s">
        <v>1631</v>
      </c>
      <c r="U9" s="467" t="s">
        <v>1632</v>
      </c>
      <c r="V9" s="467" t="s">
        <v>1633</v>
      </c>
      <c r="W9" s="467" t="s">
        <v>1634</v>
      </c>
      <c r="X9" s="467" t="s">
        <v>1635</v>
      </c>
    </row>
    <row r="10" spans="1:24" ht="95.25" thickBot="1">
      <c r="A10" s="677"/>
      <c r="B10" s="460" t="s">
        <v>1587</v>
      </c>
      <c r="C10" s="460" t="s">
        <v>1636</v>
      </c>
      <c r="D10" s="462" t="s">
        <v>1637</v>
      </c>
      <c r="E10" s="462" t="s">
        <v>1638</v>
      </c>
      <c r="F10" s="463"/>
      <c r="G10" s="464"/>
      <c r="H10" s="464" t="s">
        <v>1613</v>
      </c>
      <c r="I10" s="476" t="s">
        <v>1614</v>
      </c>
      <c r="J10" s="464" t="s">
        <v>1615</v>
      </c>
      <c r="K10" s="464" t="s">
        <v>1615</v>
      </c>
      <c r="L10" s="464" t="s">
        <v>1639</v>
      </c>
      <c r="M10" s="464" t="s">
        <v>1640</v>
      </c>
      <c r="N10" s="463" t="s">
        <v>1618</v>
      </c>
      <c r="O10" s="467" t="s">
        <v>1594</v>
      </c>
      <c r="P10" s="467" t="s">
        <v>1595</v>
      </c>
      <c r="Q10" s="468" t="s">
        <v>1596</v>
      </c>
      <c r="R10" s="467" t="s">
        <v>1597</v>
      </c>
      <c r="S10" s="468" t="s">
        <v>1641</v>
      </c>
      <c r="T10" s="467" t="s">
        <v>1642</v>
      </c>
      <c r="U10" s="467" t="s">
        <v>1643</v>
      </c>
      <c r="V10" s="468" t="s">
        <v>1644</v>
      </c>
      <c r="W10" s="467" t="s">
        <v>1645</v>
      </c>
      <c r="X10" s="467" t="s">
        <v>1646</v>
      </c>
    </row>
    <row r="11" spans="1:24" ht="95.25" thickBot="1">
      <c r="A11" s="677"/>
      <c r="B11" s="460" t="s">
        <v>1587</v>
      </c>
      <c r="C11" s="460" t="s">
        <v>1588</v>
      </c>
      <c r="D11" s="460" t="s">
        <v>1647</v>
      </c>
      <c r="E11" s="460" t="s">
        <v>1648</v>
      </c>
      <c r="F11" s="463"/>
      <c r="G11" s="467"/>
      <c r="H11" s="464" t="s">
        <v>1613</v>
      </c>
      <c r="I11" s="473" t="s">
        <v>1614</v>
      </c>
      <c r="J11" s="464" t="s">
        <v>1615</v>
      </c>
      <c r="K11" s="464" t="s">
        <v>1615</v>
      </c>
      <c r="L11" s="464" t="s">
        <v>1649</v>
      </c>
      <c r="M11" s="464" t="s">
        <v>1650</v>
      </c>
      <c r="N11" s="463" t="s">
        <v>1651</v>
      </c>
      <c r="O11" s="467" t="s">
        <v>1594</v>
      </c>
      <c r="P11" s="467" t="s">
        <v>1595</v>
      </c>
      <c r="Q11" s="468" t="s">
        <v>1596</v>
      </c>
      <c r="R11" s="467" t="s">
        <v>1597</v>
      </c>
      <c r="S11" s="468" t="s">
        <v>1652</v>
      </c>
      <c r="T11" s="467" t="s">
        <v>1653</v>
      </c>
      <c r="U11" s="467" t="s">
        <v>1654</v>
      </c>
      <c r="V11" s="467" t="s">
        <v>1655</v>
      </c>
      <c r="W11" s="467" t="s">
        <v>1656</v>
      </c>
      <c r="X11" s="467" t="s">
        <v>1657</v>
      </c>
    </row>
    <row r="12" spans="1:24" ht="99.75" customHeight="1" thickBot="1">
      <c r="A12" s="677"/>
      <c r="B12" s="460" t="s">
        <v>1658</v>
      </c>
      <c r="C12" s="460" t="s">
        <v>1659</v>
      </c>
      <c r="D12" s="460" t="s">
        <v>1660</v>
      </c>
      <c r="E12" s="460" t="s">
        <v>1661</v>
      </c>
      <c r="F12" s="477" t="s">
        <v>1662</v>
      </c>
      <c r="G12" s="478" t="s">
        <v>1663</v>
      </c>
      <c r="H12" s="464"/>
      <c r="I12" s="475"/>
      <c r="J12" s="464"/>
      <c r="K12" s="464"/>
      <c r="L12" s="464"/>
      <c r="M12" s="464"/>
      <c r="N12" s="479" t="s">
        <v>1664</v>
      </c>
      <c r="O12" s="467" t="s">
        <v>1665</v>
      </c>
      <c r="P12" s="467" t="s">
        <v>1666</v>
      </c>
      <c r="Q12" s="468" t="s">
        <v>1667</v>
      </c>
      <c r="R12" s="467" t="s">
        <v>1668</v>
      </c>
      <c r="S12" s="468" t="s">
        <v>1669</v>
      </c>
      <c r="T12" s="467" t="s">
        <v>1670</v>
      </c>
      <c r="U12" s="467" t="s">
        <v>1622</v>
      </c>
      <c r="V12" s="467" t="s">
        <v>1623</v>
      </c>
      <c r="W12" s="467" t="s">
        <v>1671</v>
      </c>
      <c r="X12" s="467" t="s">
        <v>1672</v>
      </c>
    </row>
    <row r="13" spans="1:24" ht="210.6" customHeight="1" thickBot="1">
      <c r="A13" s="677"/>
      <c r="B13" s="460" t="s">
        <v>1673</v>
      </c>
      <c r="C13" s="460" t="s">
        <v>1659</v>
      </c>
      <c r="D13" s="460" t="s">
        <v>1674</v>
      </c>
      <c r="E13" s="462" t="s">
        <v>1675</v>
      </c>
      <c r="F13" s="477" t="s">
        <v>1676</v>
      </c>
      <c r="G13" s="478" t="s">
        <v>1677</v>
      </c>
      <c r="H13" s="464"/>
      <c r="I13" s="473"/>
      <c r="J13" s="464"/>
      <c r="K13" s="464"/>
      <c r="L13" s="464"/>
      <c r="M13" s="464"/>
      <c r="N13" s="463" t="s">
        <v>206</v>
      </c>
      <c r="O13" s="467" t="s">
        <v>1665</v>
      </c>
      <c r="P13" s="467" t="s">
        <v>1666</v>
      </c>
      <c r="Q13" s="468" t="s">
        <v>1667</v>
      </c>
      <c r="R13" s="467" t="s">
        <v>1668</v>
      </c>
      <c r="S13" s="468" t="s">
        <v>1669</v>
      </c>
      <c r="T13" s="467" t="s">
        <v>1670</v>
      </c>
      <c r="U13" s="467" t="s">
        <v>1622</v>
      </c>
      <c r="V13" s="467" t="s">
        <v>1623</v>
      </c>
      <c r="W13" s="467" t="s">
        <v>1678</v>
      </c>
      <c r="X13" s="467" t="s">
        <v>1672</v>
      </c>
    </row>
    <row r="14" spans="1:24" s="480" customFormat="1" ht="130.5" customHeight="1" thickBot="1">
      <c r="A14" s="677"/>
      <c r="B14" s="460" t="s">
        <v>1658</v>
      </c>
      <c r="C14" s="460" t="s">
        <v>1659</v>
      </c>
      <c r="D14" s="460" t="s">
        <v>1679</v>
      </c>
      <c r="E14" s="460" t="s">
        <v>1680</v>
      </c>
      <c r="F14" s="463"/>
      <c r="G14" s="464"/>
      <c r="H14" s="464" t="s">
        <v>1613</v>
      </c>
      <c r="I14" s="475" t="s">
        <v>1614</v>
      </c>
      <c r="J14" s="464" t="s">
        <v>1681</v>
      </c>
      <c r="K14" s="464" t="s">
        <v>1681</v>
      </c>
      <c r="L14" s="464" t="s">
        <v>1682</v>
      </c>
      <c r="M14" s="464" t="s">
        <v>1683</v>
      </c>
      <c r="N14" s="464" t="s">
        <v>1684</v>
      </c>
      <c r="O14" s="467" t="s">
        <v>1665</v>
      </c>
      <c r="P14" s="467" t="s">
        <v>1666</v>
      </c>
      <c r="Q14" s="468" t="s">
        <v>1667</v>
      </c>
      <c r="R14" s="467" t="s">
        <v>1668</v>
      </c>
      <c r="S14" s="468" t="s">
        <v>1685</v>
      </c>
      <c r="T14" s="467" t="s">
        <v>1686</v>
      </c>
      <c r="U14" s="467" t="s">
        <v>1622</v>
      </c>
      <c r="V14" s="467" t="s">
        <v>1623</v>
      </c>
      <c r="W14" s="467" t="s">
        <v>1687</v>
      </c>
      <c r="X14" s="467" t="s">
        <v>1686</v>
      </c>
    </row>
    <row r="15" spans="1:24" ht="102" customHeight="1" thickBot="1">
      <c r="A15" s="677"/>
      <c r="B15" s="460" t="s">
        <v>1673</v>
      </c>
      <c r="C15" s="460" t="s">
        <v>1659</v>
      </c>
      <c r="D15" s="460" t="s">
        <v>1688</v>
      </c>
      <c r="E15" s="462" t="s">
        <v>1689</v>
      </c>
      <c r="F15" s="463"/>
      <c r="G15" s="464"/>
      <c r="H15" s="464" t="s">
        <v>1613</v>
      </c>
      <c r="I15" s="475" t="s">
        <v>1614</v>
      </c>
      <c r="J15" s="464" t="s">
        <v>1681</v>
      </c>
      <c r="K15" s="464" t="s">
        <v>1681</v>
      </c>
      <c r="L15" s="464" t="s">
        <v>1682</v>
      </c>
      <c r="M15" s="464" t="s">
        <v>1683</v>
      </c>
      <c r="N15" s="463" t="s">
        <v>1690</v>
      </c>
      <c r="O15" s="467" t="s">
        <v>1665</v>
      </c>
      <c r="P15" s="467" t="s">
        <v>1666</v>
      </c>
      <c r="Q15" s="468" t="s">
        <v>1667</v>
      </c>
      <c r="R15" s="467" t="s">
        <v>1668</v>
      </c>
      <c r="S15" s="468" t="s">
        <v>1685</v>
      </c>
      <c r="T15" s="467" t="s">
        <v>1686</v>
      </c>
      <c r="U15" s="467" t="s">
        <v>1622</v>
      </c>
      <c r="V15" s="467" t="s">
        <v>1623</v>
      </c>
      <c r="W15" s="467" t="s">
        <v>1687</v>
      </c>
      <c r="X15" s="467" t="s">
        <v>1686</v>
      </c>
    </row>
    <row r="16" spans="1:24" ht="190.5" customHeight="1" thickBot="1">
      <c r="A16" s="677"/>
      <c r="B16" s="462" t="s">
        <v>1691</v>
      </c>
      <c r="C16" s="462" t="s">
        <v>1692</v>
      </c>
      <c r="D16" s="462" t="s">
        <v>1693</v>
      </c>
      <c r="E16" s="462" t="s">
        <v>1694</v>
      </c>
      <c r="F16" s="463" t="s">
        <v>1695</v>
      </c>
      <c r="G16" s="464" t="s">
        <v>1696</v>
      </c>
      <c r="H16" s="464"/>
      <c r="I16" s="481"/>
      <c r="J16" s="464"/>
      <c r="K16" s="464"/>
      <c r="L16" s="464"/>
      <c r="M16" s="464"/>
      <c r="N16" s="463" t="s">
        <v>1618</v>
      </c>
      <c r="O16" s="467" t="s">
        <v>1697</v>
      </c>
      <c r="P16" s="467" t="s">
        <v>1698</v>
      </c>
      <c r="Q16" s="468" t="s">
        <v>1596</v>
      </c>
      <c r="R16" s="467" t="s">
        <v>1597</v>
      </c>
      <c r="S16" s="395" t="s">
        <v>1699</v>
      </c>
      <c r="T16" s="467" t="s">
        <v>1700</v>
      </c>
      <c r="U16" s="467" t="s">
        <v>1701</v>
      </c>
      <c r="V16" s="468" t="s">
        <v>1702</v>
      </c>
      <c r="W16" s="467" t="s">
        <v>1703</v>
      </c>
      <c r="X16" s="467" t="s">
        <v>1704</v>
      </c>
    </row>
    <row r="17" spans="1:24" ht="108.95" customHeight="1" thickBot="1">
      <c r="A17" s="677"/>
      <c r="B17" s="462" t="s">
        <v>1691</v>
      </c>
      <c r="C17" s="460" t="s">
        <v>1692</v>
      </c>
      <c r="D17" s="460" t="s">
        <v>1705</v>
      </c>
      <c r="E17" s="460" t="s">
        <v>1706</v>
      </c>
      <c r="F17" s="463"/>
      <c r="G17" s="467"/>
      <c r="H17" s="464" t="s">
        <v>1613</v>
      </c>
      <c r="I17" s="473" t="s">
        <v>1614</v>
      </c>
      <c r="J17" s="464" t="s">
        <v>1615</v>
      </c>
      <c r="K17" s="464" t="s">
        <v>1615</v>
      </c>
      <c r="L17" s="464" t="s">
        <v>1707</v>
      </c>
      <c r="M17" s="464" t="s">
        <v>1708</v>
      </c>
      <c r="N17" s="463" t="s">
        <v>1709</v>
      </c>
      <c r="O17" s="467" t="s">
        <v>1710</v>
      </c>
      <c r="P17" s="467" t="s">
        <v>1711</v>
      </c>
      <c r="Q17" s="468" t="s">
        <v>1596</v>
      </c>
      <c r="R17" s="467" t="s">
        <v>1597</v>
      </c>
      <c r="S17" s="468" t="s">
        <v>1712</v>
      </c>
      <c r="T17" s="467" t="s">
        <v>1713</v>
      </c>
      <c r="U17" s="467" t="s">
        <v>1714</v>
      </c>
      <c r="V17" s="467" t="s">
        <v>1715</v>
      </c>
      <c r="W17" s="467" t="s">
        <v>1716</v>
      </c>
      <c r="X17" s="467" t="s">
        <v>1717</v>
      </c>
    </row>
    <row r="18" spans="1:24" ht="62.45" customHeight="1" thickBot="1">
      <c r="A18" s="677"/>
      <c r="B18" s="460"/>
      <c r="C18" s="460"/>
      <c r="D18" s="460"/>
      <c r="E18" s="462"/>
      <c r="F18" s="463"/>
      <c r="G18" s="464"/>
      <c r="H18" s="464"/>
      <c r="I18" s="465"/>
      <c r="J18" s="464"/>
      <c r="K18" s="464"/>
      <c r="L18" s="464"/>
      <c r="M18" s="464"/>
      <c r="N18" s="463"/>
      <c r="O18" s="467"/>
      <c r="P18" s="467"/>
      <c r="Q18" s="468"/>
      <c r="R18" s="467"/>
      <c r="S18" s="468"/>
      <c r="T18" s="467"/>
      <c r="U18" s="467"/>
      <c r="V18" s="467"/>
      <c r="W18" s="467"/>
      <c r="X18" s="467"/>
    </row>
    <row r="19" spans="1:24" ht="189.6" customHeight="1" thickBot="1">
      <c r="A19" s="677"/>
      <c r="B19" s="482"/>
      <c r="C19" s="460"/>
      <c r="D19" s="483"/>
      <c r="E19" s="460"/>
      <c r="F19" s="463"/>
      <c r="G19" s="467"/>
      <c r="H19" s="464"/>
      <c r="I19" s="465"/>
      <c r="J19" s="464"/>
      <c r="K19" s="464"/>
      <c r="L19" s="464"/>
      <c r="M19" s="464"/>
      <c r="N19" s="463"/>
      <c r="O19" s="467"/>
      <c r="P19" s="467"/>
      <c r="Q19" s="468"/>
      <c r="R19" s="467"/>
      <c r="S19" s="468"/>
      <c r="T19" s="467"/>
      <c r="U19" s="467"/>
      <c r="V19" s="467"/>
      <c r="W19" s="467"/>
      <c r="X19" s="467"/>
    </row>
    <row r="20" spans="1:24" ht="84.6" customHeight="1" thickBot="1">
      <c r="A20" s="677"/>
      <c r="B20" s="482"/>
      <c r="C20" s="460"/>
      <c r="D20" s="480"/>
      <c r="E20" s="462"/>
      <c r="F20" s="463"/>
      <c r="G20" s="464"/>
      <c r="H20" s="484"/>
      <c r="I20" s="485"/>
      <c r="J20" s="484"/>
      <c r="K20" s="484"/>
      <c r="L20" s="484"/>
      <c r="M20" s="484"/>
      <c r="N20" s="463"/>
      <c r="O20" s="467"/>
      <c r="P20" s="467"/>
      <c r="Q20" s="468"/>
      <c r="R20" s="467"/>
      <c r="S20" s="468"/>
      <c r="T20" s="467"/>
      <c r="U20" s="467"/>
      <c r="V20" s="468"/>
      <c r="W20" s="467"/>
      <c r="X20" s="467"/>
    </row>
    <row r="21" spans="1:24" ht="47.1" customHeight="1" thickBot="1">
      <c r="A21" s="677"/>
      <c r="B21" s="460"/>
      <c r="C21" s="460"/>
      <c r="D21" s="460"/>
      <c r="E21" s="460"/>
      <c r="F21" s="463"/>
      <c r="G21" s="467"/>
      <c r="H21" s="464"/>
      <c r="I21" s="465"/>
      <c r="J21" s="464"/>
      <c r="K21" s="464"/>
      <c r="L21" s="464"/>
      <c r="M21" s="464"/>
      <c r="N21" s="463"/>
      <c r="O21" s="467"/>
      <c r="P21" s="467"/>
      <c r="Q21" s="468"/>
      <c r="R21" s="467"/>
      <c r="S21" s="468"/>
      <c r="T21" s="467"/>
      <c r="U21" s="467"/>
      <c r="V21" s="467"/>
      <c r="W21" s="467"/>
      <c r="X21" s="467"/>
    </row>
    <row r="22" spans="1:24" ht="47.1" customHeight="1" thickBot="1">
      <c r="A22" s="677"/>
      <c r="B22" s="460"/>
      <c r="C22" s="460"/>
      <c r="D22" s="460"/>
      <c r="E22" s="460"/>
      <c r="F22" s="463"/>
      <c r="G22" s="464"/>
      <c r="H22" s="464"/>
      <c r="I22" s="465"/>
      <c r="J22" s="464"/>
      <c r="K22" s="464"/>
      <c r="L22" s="464"/>
      <c r="M22" s="464"/>
      <c r="N22" s="463"/>
      <c r="O22" s="467"/>
      <c r="P22" s="467"/>
      <c r="Q22" s="468"/>
      <c r="R22" s="467"/>
      <c r="S22" s="468"/>
      <c r="T22" s="467"/>
      <c r="U22" s="467"/>
      <c r="V22" s="467"/>
      <c r="W22" s="467"/>
      <c r="X22" s="467"/>
    </row>
    <row r="23" spans="1:24" ht="107.1" customHeight="1" thickBot="1">
      <c r="A23" s="677"/>
      <c r="B23" s="460"/>
      <c r="C23" s="460"/>
      <c r="D23" s="460"/>
      <c r="E23" s="462"/>
      <c r="F23" s="463"/>
      <c r="G23" s="463"/>
      <c r="H23" s="463"/>
      <c r="I23" s="486"/>
      <c r="J23" s="463"/>
      <c r="K23" s="463"/>
      <c r="L23" s="463"/>
      <c r="M23" s="463"/>
      <c r="N23" s="463"/>
      <c r="O23" s="467"/>
      <c r="P23" s="467"/>
      <c r="Q23" s="468"/>
      <c r="R23" s="467"/>
      <c r="S23" s="468"/>
      <c r="T23" s="467"/>
      <c r="U23" s="467"/>
      <c r="V23" s="468"/>
      <c r="W23" s="467"/>
      <c r="X23" s="467"/>
    </row>
    <row r="24" spans="1:24" ht="47.1" customHeight="1" thickBot="1">
      <c r="A24" s="677"/>
      <c r="B24" s="460"/>
      <c r="C24" s="460"/>
      <c r="D24" s="460"/>
      <c r="E24" s="460"/>
      <c r="F24" s="463"/>
      <c r="G24" s="463"/>
      <c r="H24" s="463"/>
      <c r="I24" s="486"/>
      <c r="J24" s="463"/>
      <c r="K24" s="463"/>
      <c r="L24" s="463"/>
      <c r="M24" s="463"/>
      <c r="N24" s="463"/>
      <c r="O24" s="467"/>
      <c r="P24" s="467"/>
      <c r="Q24" s="468"/>
      <c r="R24" s="467"/>
      <c r="S24" s="468"/>
      <c r="T24" s="467"/>
      <c r="U24" s="467"/>
      <c r="V24" s="467"/>
      <c r="W24" s="467"/>
      <c r="X24" s="467"/>
    </row>
    <row r="25" spans="1:24" ht="47.1" customHeight="1" thickBot="1">
      <c r="A25" s="677"/>
      <c r="B25" s="460"/>
      <c r="C25" s="460"/>
      <c r="D25" s="460"/>
      <c r="E25" s="462"/>
      <c r="F25" s="463"/>
      <c r="G25" s="463"/>
      <c r="H25" s="463"/>
      <c r="I25" s="487"/>
      <c r="J25" s="463"/>
      <c r="K25" s="463"/>
      <c r="L25" s="463"/>
      <c r="M25" s="463"/>
      <c r="N25" s="463"/>
      <c r="O25" s="467"/>
      <c r="P25" s="467"/>
      <c r="Q25" s="468"/>
      <c r="R25" s="467"/>
      <c r="S25" s="468"/>
      <c r="T25" s="460"/>
      <c r="U25" s="467"/>
      <c r="V25" s="468"/>
      <c r="W25" s="460"/>
      <c r="X25" s="467"/>
    </row>
    <row r="26" spans="1:24" ht="47.1" customHeight="1" thickBot="1">
      <c r="A26" s="677"/>
      <c r="B26" s="460"/>
      <c r="C26" s="460"/>
      <c r="D26" s="460"/>
      <c r="E26" s="460"/>
      <c r="F26" s="463"/>
      <c r="G26" s="463"/>
      <c r="H26" s="463"/>
      <c r="I26" s="487"/>
      <c r="J26" s="463"/>
      <c r="K26" s="463"/>
      <c r="L26" s="463"/>
      <c r="M26" s="463"/>
      <c r="N26" s="463"/>
      <c r="O26" s="467"/>
      <c r="P26" s="467"/>
      <c r="Q26" s="468"/>
      <c r="R26" s="467"/>
      <c r="S26" s="474"/>
      <c r="T26" s="467"/>
      <c r="U26" s="460"/>
      <c r="V26" s="467"/>
      <c r="W26" s="460"/>
      <c r="X26" s="467"/>
    </row>
    <row r="27" spans="1:24" ht="78" customHeight="1" thickBot="1">
      <c r="A27" s="677"/>
      <c r="B27" s="460"/>
      <c r="C27" s="460"/>
      <c r="D27" s="460"/>
      <c r="E27" s="460"/>
      <c r="F27" s="463"/>
      <c r="G27" s="463"/>
      <c r="H27" s="463"/>
      <c r="I27" s="463"/>
      <c r="J27" s="463"/>
      <c r="K27" s="463"/>
      <c r="L27" s="463"/>
      <c r="M27" s="463"/>
      <c r="N27" s="463"/>
      <c r="O27" s="467"/>
      <c r="P27" s="467"/>
      <c r="Q27" s="468"/>
      <c r="R27" s="467"/>
      <c r="S27" s="467"/>
      <c r="T27" s="467"/>
      <c r="U27" s="468"/>
      <c r="V27" s="467"/>
      <c r="W27" s="468"/>
      <c r="X27" s="467"/>
    </row>
    <row r="28" spans="1:24" ht="78" customHeight="1" thickBot="1">
      <c r="A28" s="677"/>
      <c r="B28" s="460"/>
      <c r="C28" s="460"/>
      <c r="D28" s="460"/>
      <c r="E28" s="460"/>
      <c r="F28" s="463"/>
      <c r="G28" s="463"/>
      <c r="H28" s="463"/>
      <c r="I28" s="463"/>
      <c r="J28" s="463"/>
      <c r="K28" s="463"/>
      <c r="L28" s="463"/>
      <c r="M28" s="463"/>
      <c r="N28" s="463"/>
      <c r="O28" s="467"/>
      <c r="P28" s="467"/>
      <c r="Q28" s="468"/>
      <c r="R28" s="467"/>
      <c r="S28" s="467"/>
      <c r="T28" s="467"/>
      <c r="U28" s="468"/>
      <c r="V28" s="467"/>
      <c r="W28" s="468"/>
      <c r="X28" s="467"/>
    </row>
    <row r="29" spans="1:24" ht="47.1" customHeight="1" thickBot="1">
      <c r="A29" s="677"/>
      <c r="B29" s="460"/>
      <c r="C29" s="460"/>
      <c r="D29" s="460"/>
      <c r="E29" s="460"/>
      <c r="F29" s="463"/>
      <c r="G29" s="463"/>
      <c r="H29" s="463"/>
      <c r="I29" s="486"/>
      <c r="J29" s="463"/>
      <c r="K29" s="463"/>
      <c r="L29" s="463"/>
      <c r="M29" s="463"/>
      <c r="N29" s="463"/>
      <c r="O29" s="467"/>
      <c r="P29" s="467"/>
      <c r="Q29" s="468"/>
      <c r="R29" s="467"/>
      <c r="S29" s="468"/>
      <c r="T29" s="467"/>
      <c r="U29" s="467"/>
      <c r="V29" s="468"/>
      <c r="W29" s="467"/>
      <c r="X29" s="467"/>
    </row>
    <row r="30" spans="1:24" ht="62.45" customHeight="1" thickBot="1">
      <c r="A30" s="677"/>
      <c r="B30" s="460"/>
      <c r="C30" s="460"/>
      <c r="D30" s="460"/>
      <c r="E30" s="460"/>
      <c r="F30" s="463"/>
      <c r="G30" s="463"/>
      <c r="H30" s="463"/>
      <c r="I30" s="486"/>
      <c r="J30" s="463"/>
      <c r="K30" s="463"/>
      <c r="L30" s="463"/>
      <c r="M30" s="463"/>
      <c r="N30" s="463"/>
      <c r="O30" s="467"/>
      <c r="P30" s="467"/>
      <c r="Q30" s="468"/>
      <c r="R30" s="467"/>
      <c r="S30" s="467"/>
      <c r="T30" s="467"/>
      <c r="U30" s="467"/>
      <c r="V30" s="467"/>
      <c r="W30" s="467"/>
      <c r="X30" s="467"/>
    </row>
    <row r="31" spans="1:24" ht="16.5" thickBot="1">
      <c r="A31" s="678"/>
      <c r="B31" s="460"/>
      <c r="C31" s="460"/>
      <c r="D31" s="461"/>
      <c r="E31" s="460"/>
      <c r="F31" s="463"/>
      <c r="G31" s="463"/>
      <c r="H31" s="463"/>
      <c r="I31" s="463"/>
      <c r="J31" s="463"/>
      <c r="K31" s="463"/>
      <c r="L31" s="463"/>
      <c r="M31" s="463"/>
      <c r="N31" s="463"/>
      <c r="O31" s="467"/>
      <c r="P31" s="467"/>
      <c r="Q31" s="468"/>
      <c r="R31" s="467"/>
      <c r="S31" s="467"/>
      <c r="T31" s="467"/>
      <c r="U31" s="467"/>
      <c r="V31" s="467"/>
      <c r="W31" s="467"/>
      <c r="X31" s="467"/>
    </row>
    <row r="32" spans="1:24" ht="16.5" thickBot="1">
      <c r="A32" s="678"/>
      <c r="B32" s="460"/>
      <c r="C32" s="460"/>
      <c r="D32" s="460"/>
      <c r="E32" s="460"/>
      <c r="F32" s="463"/>
      <c r="G32" s="463"/>
      <c r="H32" s="463"/>
      <c r="I32" s="486"/>
      <c r="J32" s="463"/>
      <c r="K32" s="463"/>
      <c r="L32" s="463"/>
      <c r="M32" s="463"/>
      <c r="N32" s="463"/>
      <c r="O32" s="467"/>
      <c r="P32" s="467"/>
      <c r="Q32" s="468"/>
      <c r="R32" s="467"/>
      <c r="S32" s="467"/>
      <c r="T32" s="467"/>
      <c r="U32" s="467"/>
      <c r="V32" s="468"/>
      <c r="W32" s="471"/>
      <c r="X32" s="471"/>
    </row>
    <row r="33" spans="1:24" ht="16.5" thickBot="1">
      <c r="A33" s="678"/>
      <c r="B33" s="460"/>
      <c r="C33" s="460"/>
      <c r="D33" s="460"/>
      <c r="E33" s="460"/>
      <c r="F33" s="463"/>
      <c r="G33" s="463"/>
      <c r="H33" s="463"/>
      <c r="I33" s="486"/>
      <c r="J33" s="463"/>
      <c r="K33" s="463"/>
      <c r="L33" s="463"/>
      <c r="M33" s="463"/>
      <c r="N33" s="463"/>
      <c r="O33" s="467"/>
      <c r="P33" s="467"/>
      <c r="Q33" s="468"/>
      <c r="R33" s="467"/>
      <c r="S33" s="467"/>
      <c r="T33" s="467"/>
      <c r="U33" s="467"/>
      <c r="V33" s="467"/>
      <c r="W33" s="467"/>
      <c r="X33" s="467"/>
    </row>
    <row r="34" spans="1:24" ht="47.1" customHeight="1" thickBot="1">
      <c r="A34" s="678"/>
      <c r="B34" s="460"/>
      <c r="C34" s="460"/>
      <c r="D34" s="460"/>
      <c r="E34" s="460"/>
      <c r="F34" s="463"/>
      <c r="G34" s="463"/>
      <c r="H34" s="463"/>
      <c r="I34" s="486"/>
      <c r="J34" s="463"/>
      <c r="K34" s="463"/>
      <c r="L34" s="463"/>
      <c r="M34" s="463"/>
      <c r="N34" s="463"/>
      <c r="O34" s="467"/>
      <c r="P34" s="467"/>
      <c r="Q34" s="468"/>
      <c r="R34" s="467"/>
      <c r="S34" s="467"/>
      <c r="T34" s="467"/>
      <c r="U34" s="467"/>
      <c r="V34" s="467"/>
      <c r="W34" s="467"/>
      <c r="X34" s="467"/>
    </row>
    <row r="35" spans="1:24" ht="57" customHeight="1" thickBot="1">
      <c r="A35" s="678"/>
      <c r="B35" s="460"/>
      <c r="C35" s="460"/>
      <c r="D35" s="460"/>
      <c r="E35" s="460"/>
      <c r="F35" s="463"/>
      <c r="G35" s="463"/>
      <c r="H35" s="463"/>
      <c r="I35" s="486"/>
      <c r="J35" s="463"/>
      <c r="K35" s="463"/>
      <c r="L35" s="463"/>
      <c r="M35" s="463"/>
      <c r="N35" s="463"/>
      <c r="O35" s="467"/>
      <c r="P35" s="467"/>
      <c r="Q35" s="468"/>
      <c r="R35" s="467"/>
      <c r="S35" s="467"/>
      <c r="T35" s="467"/>
      <c r="U35" s="467"/>
      <c r="V35" s="467"/>
      <c r="W35" s="467"/>
      <c r="X35" s="467"/>
    </row>
    <row r="36" spans="1:24" ht="16.5" thickBot="1">
      <c r="A36" s="678"/>
      <c r="B36" s="460"/>
      <c r="C36" s="460"/>
      <c r="D36" s="460"/>
      <c r="E36" s="460"/>
      <c r="F36" s="464"/>
      <c r="G36" s="463"/>
      <c r="H36" s="463"/>
      <c r="I36" s="486"/>
      <c r="J36" s="463"/>
      <c r="K36" s="463"/>
      <c r="L36" s="463"/>
      <c r="M36" s="463"/>
      <c r="N36" s="463"/>
      <c r="O36" s="467"/>
      <c r="P36" s="467"/>
      <c r="Q36" s="468"/>
      <c r="R36" s="467"/>
      <c r="S36" s="467"/>
      <c r="T36" s="467"/>
      <c r="U36" s="467"/>
      <c r="V36" s="467"/>
      <c r="W36" s="467"/>
      <c r="X36" s="467"/>
    </row>
    <row r="37" spans="1:24" ht="16.5" thickBot="1">
      <c r="A37" s="678"/>
      <c r="B37" s="460"/>
      <c r="C37" s="460"/>
      <c r="D37" s="460"/>
      <c r="E37" s="460"/>
      <c r="F37" s="464"/>
      <c r="G37" s="463"/>
      <c r="H37" s="463"/>
      <c r="I37" s="487"/>
      <c r="J37" s="463"/>
      <c r="K37" s="463"/>
      <c r="L37" s="463"/>
      <c r="M37" s="463"/>
      <c r="N37" s="463"/>
      <c r="O37" s="467"/>
      <c r="P37" s="467"/>
      <c r="Q37" s="468"/>
      <c r="R37" s="467"/>
      <c r="S37" s="467"/>
      <c r="T37" s="467"/>
      <c r="U37" s="467"/>
      <c r="V37" s="467"/>
      <c r="W37" s="467"/>
      <c r="X37" s="467"/>
    </row>
    <row r="38" spans="1:24" ht="16.5" thickBot="1">
      <c r="A38" s="678"/>
      <c r="B38" s="460"/>
      <c r="C38" s="460"/>
      <c r="D38" s="460"/>
      <c r="E38" s="460"/>
      <c r="F38" s="464"/>
      <c r="G38" s="463"/>
      <c r="H38" s="463"/>
      <c r="I38" s="487"/>
      <c r="J38" s="463"/>
      <c r="K38" s="463"/>
      <c r="L38" s="463"/>
      <c r="M38" s="463"/>
      <c r="N38" s="463"/>
      <c r="O38" s="467"/>
      <c r="P38" s="467"/>
      <c r="Q38" s="468"/>
      <c r="R38" s="467"/>
      <c r="S38" s="467"/>
      <c r="T38" s="467"/>
      <c r="U38" s="467"/>
      <c r="V38" s="467"/>
      <c r="W38" s="467"/>
      <c r="X38" s="467"/>
    </row>
    <row r="39" spans="1:24" ht="159.94999999999999" customHeight="1" thickBot="1">
      <c r="A39" s="678"/>
      <c r="B39" s="460"/>
      <c r="C39" s="460"/>
      <c r="D39" s="460"/>
      <c r="E39" s="460"/>
      <c r="F39" s="464"/>
      <c r="G39" s="463"/>
      <c r="H39" s="463"/>
      <c r="I39" s="463"/>
      <c r="J39" s="463"/>
      <c r="K39" s="463"/>
      <c r="L39" s="463"/>
      <c r="M39" s="463"/>
      <c r="N39" s="463"/>
      <c r="O39" s="467"/>
      <c r="P39" s="467"/>
      <c r="Q39" s="468"/>
      <c r="R39" s="467"/>
      <c r="S39" s="467"/>
      <c r="T39" s="467"/>
      <c r="U39" s="488"/>
      <c r="V39" s="488"/>
      <c r="W39" s="467"/>
      <c r="X39" s="467"/>
    </row>
    <row r="40" spans="1:24" ht="108.95" customHeight="1" thickBot="1">
      <c r="A40" s="678"/>
      <c r="B40" s="460"/>
      <c r="C40" s="460"/>
      <c r="D40" s="460"/>
      <c r="E40" s="460"/>
      <c r="F40" s="464"/>
      <c r="G40" s="463"/>
      <c r="H40" s="463"/>
      <c r="I40" s="463"/>
      <c r="J40" s="463"/>
      <c r="K40" s="463"/>
      <c r="L40" s="463"/>
      <c r="M40" s="463"/>
      <c r="N40" s="463"/>
      <c r="O40" s="467"/>
      <c r="P40" s="467"/>
      <c r="Q40" s="468"/>
      <c r="R40" s="467"/>
      <c r="S40" s="467"/>
      <c r="T40" s="467"/>
      <c r="U40" s="467"/>
      <c r="V40" s="467"/>
      <c r="W40" s="467"/>
      <c r="X40" s="467"/>
    </row>
    <row r="41" spans="1:24" s="490" customFormat="1" ht="16.5" thickBot="1">
      <c r="A41" s="489"/>
      <c r="B41" s="460"/>
      <c r="C41" s="460"/>
      <c r="D41" s="460"/>
      <c r="E41" s="460"/>
      <c r="F41" s="464"/>
      <c r="G41" s="463"/>
      <c r="H41" s="463"/>
      <c r="I41" s="486"/>
      <c r="J41" s="463"/>
      <c r="K41" s="463"/>
      <c r="L41" s="463"/>
      <c r="M41" s="463"/>
      <c r="N41" s="463"/>
      <c r="O41" s="467"/>
      <c r="P41" s="467"/>
      <c r="Q41" s="468"/>
      <c r="R41" s="467"/>
      <c r="S41" s="467"/>
      <c r="T41" s="467"/>
      <c r="U41" s="467"/>
      <c r="V41" s="467"/>
      <c r="W41" s="467"/>
      <c r="X41" s="471"/>
    </row>
    <row r="42" spans="1:24" s="490" customFormat="1" ht="16.5" thickBot="1">
      <c r="A42" s="489"/>
      <c r="B42" s="460"/>
      <c r="C42" s="460"/>
      <c r="D42" s="460"/>
      <c r="E42" s="460"/>
      <c r="F42" s="464"/>
      <c r="G42" s="463"/>
      <c r="H42" s="463"/>
      <c r="I42" s="486"/>
      <c r="J42" s="463"/>
      <c r="K42" s="463"/>
      <c r="L42" s="463"/>
      <c r="M42" s="463"/>
      <c r="N42" s="463"/>
      <c r="O42" s="467"/>
      <c r="P42" s="467"/>
      <c r="Q42" s="474"/>
      <c r="R42" s="467"/>
      <c r="S42" s="467"/>
      <c r="T42" s="460"/>
      <c r="U42" s="460"/>
      <c r="V42" s="460"/>
      <c r="W42" s="467"/>
      <c r="X42" s="467"/>
    </row>
    <row r="43" spans="1:24" s="490" customFormat="1" ht="16.5" thickBot="1">
      <c r="A43" s="489"/>
      <c r="B43" s="460"/>
      <c r="C43" s="460"/>
      <c r="D43" s="460"/>
      <c r="E43" s="460"/>
      <c r="F43" s="464"/>
      <c r="G43" s="463"/>
      <c r="H43" s="463"/>
      <c r="I43" s="486"/>
      <c r="J43" s="463"/>
      <c r="K43" s="463"/>
      <c r="L43" s="463"/>
      <c r="M43" s="463"/>
      <c r="N43" s="463"/>
      <c r="O43" s="467"/>
      <c r="P43" s="467"/>
      <c r="Q43" s="468"/>
      <c r="R43" s="467"/>
      <c r="S43" s="467"/>
      <c r="T43" s="460"/>
      <c r="U43" s="460"/>
      <c r="V43" s="460"/>
      <c r="W43" s="467"/>
      <c r="X43" s="467"/>
    </row>
    <row r="44" spans="1:24" s="490" customFormat="1" ht="16.5" thickBot="1">
      <c r="A44" s="489"/>
      <c r="B44" s="460"/>
      <c r="C44" s="460"/>
      <c r="D44" s="460"/>
      <c r="E44" s="460"/>
      <c r="F44" s="464"/>
      <c r="G44" s="463"/>
      <c r="H44" s="463"/>
      <c r="I44" s="486"/>
      <c r="J44" s="463"/>
      <c r="K44" s="463"/>
      <c r="L44" s="463"/>
      <c r="M44" s="463"/>
      <c r="N44" s="463"/>
      <c r="O44" s="467"/>
      <c r="P44" s="467"/>
      <c r="Q44" s="468"/>
      <c r="R44" s="467"/>
      <c r="S44" s="467"/>
      <c r="T44" s="467"/>
      <c r="U44" s="467"/>
      <c r="V44" s="467"/>
      <c r="W44" s="467"/>
      <c r="X44" s="471"/>
    </row>
    <row r="45" spans="1:24" s="490" customFormat="1" ht="16.5" thickBot="1">
      <c r="A45" s="489"/>
      <c r="B45" s="460"/>
      <c r="C45" s="460"/>
      <c r="D45" s="460"/>
      <c r="E45" s="460"/>
      <c r="F45" s="464"/>
      <c r="G45" s="463"/>
      <c r="H45" s="463"/>
      <c r="I45" s="486"/>
      <c r="J45" s="463"/>
      <c r="K45" s="463"/>
      <c r="L45" s="463"/>
      <c r="M45" s="463"/>
      <c r="N45" s="463"/>
      <c r="O45" s="467"/>
      <c r="P45" s="467"/>
      <c r="Q45" s="468"/>
      <c r="R45" s="467"/>
      <c r="S45" s="464"/>
      <c r="T45" s="467"/>
      <c r="U45" s="467"/>
      <c r="V45" s="467"/>
      <c r="W45" s="467"/>
      <c r="X45" s="467"/>
    </row>
    <row r="46" spans="1:24" s="490" customFormat="1" ht="16.5" thickBot="1">
      <c r="A46" s="489"/>
      <c r="B46" s="460"/>
      <c r="C46" s="460"/>
      <c r="D46" s="460"/>
      <c r="E46" s="460"/>
      <c r="F46" s="464"/>
      <c r="G46" s="463"/>
      <c r="H46" s="463"/>
      <c r="I46" s="463"/>
      <c r="J46" s="463"/>
      <c r="K46" s="463"/>
      <c r="L46" s="463"/>
      <c r="M46" s="463"/>
      <c r="N46" s="463"/>
      <c r="O46" s="467"/>
      <c r="P46" s="467"/>
      <c r="Q46" s="468"/>
      <c r="R46" s="467"/>
      <c r="S46" s="467"/>
      <c r="T46" s="467"/>
      <c r="U46" s="460"/>
      <c r="V46" s="460"/>
      <c r="W46" s="467"/>
      <c r="X46" s="467"/>
    </row>
    <row r="47" spans="1:24" s="490" customFormat="1" ht="16.5" thickBot="1">
      <c r="A47" s="489"/>
      <c r="B47" s="460"/>
      <c r="C47" s="460"/>
      <c r="D47" s="460"/>
      <c r="E47" s="460"/>
      <c r="F47" s="464"/>
      <c r="G47" s="463"/>
      <c r="H47" s="463"/>
      <c r="I47" s="463"/>
      <c r="J47" s="463"/>
      <c r="K47" s="463"/>
      <c r="L47" s="463"/>
      <c r="M47" s="463"/>
      <c r="N47" s="463"/>
      <c r="O47" s="467"/>
      <c r="P47" s="467"/>
      <c r="Q47" s="474"/>
      <c r="R47" s="467"/>
      <c r="S47" s="460"/>
      <c r="T47" s="460"/>
      <c r="U47" s="460"/>
      <c r="V47" s="460"/>
      <c r="W47" s="467"/>
      <c r="X47" s="467"/>
    </row>
    <row r="48" spans="1:24" s="490" customFormat="1" ht="16.5" thickBot="1">
      <c r="A48" s="489"/>
      <c r="B48" s="460"/>
      <c r="C48" s="460"/>
      <c r="D48" s="460"/>
      <c r="E48" s="460"/>
      <c r="F48" s="464"/>
      <c r="G48" s="463"/>
      <c r="H48" s="463"/>
      <c r="I48" s="486"/>
      <c r="J48" s="463"/>
      <c r="K48" s="463"/>
      <c r="L48" s="463"/>
      <c r="M48" s="463"/>
      <c r="N48" s="463"/>
      <c r="O48" s="467"/>
      <c r="P48" s="467"/>
      <c r="Q48" s="468"/>
      <c r="R48" s="467"/>
      <c r="S48" s="467"/>
      <c r="T48" s="467"/>
      <c r="U48" s="467"/>
      <c r="V48" s="468"/>
      <c r="W48" s="468"/>
      <c r="X48" s="467"/>
    </row>
    <row r="49" spans="1:24" s="490" customFormat="1" ht="16.5" thickBot="1">
      <c r="A49" s="489"/>
      <c r="B49" s="460"/>
      <c r="C49" s="460"/>
      <c r="D49" s="460"/>
      <c r="E49" s="460"/>
      <c r="F49" s="464"/>
      <c r="G49" s="463"/>
      <c r="H49" s="463"/>
      <c r="I49" s="487"/>
      <c r="J49" s="463"/>
      <c r="K49" s="463"/>
      <c r="L49" s="463"/>
      <c r="M49" s="463"/>
      <c r="N49" s="463"/>
      <c r="O49" s="467"/>
      <c r="P49" s="467"/>
      <c r="Q49" s="468"/>
      <c r="R49" s="467"/>
      <c r="S49" s="467"/>
      <c r="T49" s="467"/>
      <c r="U49" s="467"/>
      <c r="V49" s="467"/>
      <c r="W49" s="468"/>
      <c r="X49" s="467"/>
    </row>
    <row r="50" spans="1:24" s="490" customFormat="1" ht="16.5" thickBot="1">
      <c r="A50" s="489"/>
      <c r="B50" s="460"/>
      <c r="C50" s="460"/>
      <c r="D50" s="460"/>
      <c r="E50" s="460"/>
      <c r="F50" s="464"/>
      <c r="G50" s="464"/>
      <c r="H50" s="464"/>
      <c r="I50" s="464"/>
      <c r="J50" s="464"/>
      <c r="K50" s="464"/>
      <c r="L50" s="464"/>
      <c r="M50" s="464"/>
      <c r="N50" s="464"/>
      <c r="O50" s="467"/>
      <c r="P50" s="467"/>
      <c r="Q50" s="468"/>
      <c r="R50" s="467"/>
      <c r="S50" s="468"/>
      <c r="T50" s="468"/>
      <c r="U50" s="468"/>
      <c r="V50" s="468"/>
      <c r="W50" s="468"/>
      <c r="X50" s="467"/>
    </row>
    <row r="51" spans="1:24">
      <c r="B51" s="490"/>
      <c r="C51" s="490"/>
      <c r="D51" s="490"/>
      <c r="E51" s="490"/>
      <c r="F51" s="490"/>
      <c r="G51" s="490"/>
      <c r="H51" s="490"/>
      <c r="I51" s="490"/>
      <c r="J51" s="490"/>
      <c r="K51" s="490"/>
      <c r="L51" s="490"/>
      <c r="M51" s="490"/>
      <c r="N51" s="490"/>
      <c r="O51" s="490"/>
      <c r="P51" s="490"/>
      <c r="Q51" s="213"/>
      <c r="R51" s="213"/>
      <c r="S51" s="213"/>
      <c r="T51" s="213"/>
      <c r="U51" s="213"/>
      <c r="V51" s="213"/>
      <c r="W51" s="213"/>
      <c r="X51" s="213"/>
    </row>
    <row r="52" spans="1:24">
      <c r="B52" s="490"/>
      <c r="C52" s="490"/>
      <c r="D52" s="490"/>
      <c r="E52" s="490"/>
      <c r="F52" s="490"/>
      <c r="G52" s="490"/>
      <c r="H52" s="490"/>
      <c r="I52" s="490"/>
      <c r="J52" s="490"/>
      <c r="K52" s="490"/>
      <c r="L52" s="490"/>
      <c r="M52" s="490"/>
      <c r="N52" s="490"/>
      <c r="O52" s="490"/>
      <c r="P52" s="490"/>
      <c r="Q52" s="213"/>
      <c r="R52" s="213"/>
      <c r="S52" s="213"/>
      <c r="T52" s="213"/>
      <c r="U52" s="213"/>
      <c r="V52" s="213"/>
      <c r="W52" s="213"/>
      <c r="X52" s="213"/>
    </row>
    <row r="53" spans="1:24">
      <c r="B53" s="490"/>
      <c r="C53" s="490"/>
      <c r="D53" s="490"/>
      <c r="E53" s="490"/>
      <c r="F53" s="490"/>
      <c r="G53" s="490"/>
      <c r="H53" s="490"/>
      <c r="I53" s="490"/>
      <c r="J53" s="490"/>
      <c r="K53" s="490"/>
      <c r="L53" s="490"/>
      <c r="M53" s="490"/>
      <c r="N53" s="490"/>
      <c r="O53" s="490"/>
      <c r="P53" s="490"/>
      <c r="Q53" s="213"/>
      <c r="R53" s="213"/>
      <c r="S53" s="213"/>
      <c r="T53" s="213"/>
      <c r="U53" s="213"/>
      <c r="V53" s="213"/>
      <c r="W53" s="213"/>
      <c r="X53" s="213"/>
    </row>
    <row r="54" spans="1:24">
      <c r="B54" s="490"/>
      <c r="C54" s="490"/>
      <c r="D54" s="490"/>
      <c r="E54" s="490"/>
      <c r="F54" s="490"/>
      <c r="G54" s="490"/>
      <c r="H54" s="490"/>
      <c r="I54" s="490"/>
      <c r="J54" s="490"/>
      <c r="K54" s="490"/>
      <c r="L54" s="490"/>
      <c r="M54" s="490"/>
      <c r="N54" s="490"/>
      <c r="O54" s="490"/>
      <c r="P54" s="490"/>
      <c r="Q54" s="213"/>
      <c r="R54" s="213"/>
      <c r="S54" s="213"/>
      <c r="T54" s="213"/>
      <c r="U54" s="213"/>
      <c r="V54" s="213"/>
      <c r="W54" s="213"/>
      <c r="X54" s="213"/>
    </row>
    <row r="55" spans="1:24">
      <c r="B55" s="490"/>
      <c r="C55" s="490"/>
      <c r="D55" s="490"/>
      <c r="E55" s="490"/>
      <c r="F55" s="490"/>
      <c r="G55" s="490"/>
      <c r="H55" s="490"/>
      <c r="I55" s="490"/>
      <c r="J55" s="490"/>
      <c r="K55" s="490"/>
      <c r="L55" s="490"/>
      <c r="M55" s="490"/>
      <c r="N55" s="490"/>
      <c r="O55" s="490"/>
      <c r="P55" s="490"/>
      <c r="Q55" s="213"/>
      <c r="R55" s="213"/>
      <c r="S55" s="213"/>
      <c r="T55" s="213"/>
      <c r="U55" s="213"/>
      <c r="V55" s="213"/>
      <c r="W55" s="213"/>
      <c r="X55" s="213"/>
    </row>
    <row r="56" spans="1:24">
      <c r="B56" s="490"/>
      <c r="C56" s="490"/>
      <c r="D56" s="490"/>
      <c r="E56" s="490"/>
      <c r="F56" s="490"/>
      <c r="G56" s="490"/>
      <c r="H56" s="490"/>
      <c r="I56" s="490"/>
      <c r="J56" s="490"/>
      <c r="K56" s="490"/>
      <c r="L56" s="490"/>
      <c r="M56" s="490"/>
      <c r="N56" s="490"/>
      <c r="O56" s="490"/>
      <c r="P56" s="490"/>
      <c r="Q56" s="213"/>
      <c r="R56" s="213"/>
      <c r="S56" s="213"/>
      <c r="T56" s="213"/>
      <c r="U56" s="213"/>
      <c r="V56" s="213"/>
      <c r="W56" s="213"/>
      <c r="X56" s="213"/>
    </row>
    <row r="57" spans="1:24">
      <c r="B57" s="490"/>
      <c r="C57" s="490"/>
      <c r="D57" s="490"/>
      <c r="E57" s="490"/>
      <c r="F57" s="490"/>
      <c r="G57" s="490"/>
      <c r="H57" s="490"/>
      <c r="I57" s="490"/>
      <c r="J57" s="490"/>
      <c r="K57" s="490"/>
      <c r="L57" s="490"/>
      <c r="M57" s="490"/>
      <c r="N57" s="490"/>
      <c r="O57" s="490"/>
      <c r="P57" s="490"/>
      <c r="Q57" s="213"/>
      <c r="R57" s="213"/>
      <c r="S57" s="213"/>
      <c r="T57" s="213"/>
      <c r="U57" s="213"/>
      <c r="V57" s="213"/>
      <c r="W57" s="213"/>
      <c r="X57" s="213"/>
    </row>
    <row r="58" spans="1:24">
      <c r="B58" s="490"/>
      <c r="C58" s="490"/>
      <c r="D58" s="490"/>
      <c r="E58" s="490"/>
      <c r="F58" s="490"/>
      <c r="G58" s="490"/>
      <c r="H58" s="490"/>
      <c r="I58" s="490"/>
      <c r="J58" s="490"/>
      <c r="K58" s="490"/>
      <c r="L58" s="490"/>
      <c r="M58" s="490"/>
      <c r="N58" s="490"/>
      <c r="O58" s="490"/>
      <c r="P58" s="490"/>
      <c r="Q58" s="213"/>
      <c r="R58" s="213"/>
      <c r="S58" s="213"/>
      <c r="T58" s="213"/>
      <c r="U58" s="213"/>
      <c r="V58" s="213"/>
      <c r="W58" s="213"/>
      <c r="X58" s="213"/>
    </row>
    <row r="59" spans="1:24">
      <c r="B59" s="490"/>
      <c r="C59" s="490"/>
      <c r="D59" s="490"/>
      <c r="E59" s="490"/>
      <c r="F59" s="490"/>
      <c r="G59" s="490"/>
      <c r="H59" s="490"/>
      <c r="I59" s="490"/>
      <c r="J59" s="490"/>
      <c r="K59" s="490"/>
      <c r="L59" s="490"/>
      <c r="M59" s="490"/>
      <c r="N59" s="490"/>
      <c r="O59" s="490"/>
      <c r="P59" s="490"/>
      <c r="Q59" s="213"/>
      <c r="R59" s="213"/>
      <c r="S59" s="213"/>
      <c r="T59" s="213"/>
      <c r="U59" s="213"/>
      <c r="V59" s="213"/>
      <c r="W59" s="213"/>
      <c r="X59" s="213"/>
    </row>
    <row r="60" spans="1:24">
      <c r="B60" s="490"/>
      <c r="C60" s="490"/>
      <c r="D60" s="490"/>
      <c r="E60" s="490"/>
      <c r="F60" s="490"/>
      <c r="G60" s="490"/>
      <c r="H60" s="490"/>
      <c r="I60" s="490"/>
      <c r="J60" s="490"/>
      <c r="K60" s="490"/>
      <c r="L60" s="490"/>
      <c r="M60" s="490"/>
      <c r="N60" s="490"/>
      <c r="O60" s="490"/>
      <c r="P60" s="490"/>
      <c r="Q60" s="213"/>
      <c r="R60" s="213"/>
      <c r="S60" s="213"/>
      <c r="T60" s="213"/>
      <c r="U60" s="213"/>
      <c r="V60" s="213"/>
      <c r="W60" s="213"/>
      <c r="X60" s="213"/>
    </row>
  </sheetData>
  <autoFilter ref="A3:X40" xr:uid="{00000000-0009-0000-0000-000003000000}">
    <filterColumn colId="7" showButton="0"/>
    <filterColumn colId="8" showButton="0"/>
    <filterColumn colId="9" showButton="0"/>
    <filterColumn colId="10" showButton="0"/>
    <filterColumn colId="11" showButton="0"/>
  </autoFilter>
  <mergeCells count="5">
    <mergeCell ref="B2:X2"/>
    <mergeCell ref="H3:M3"/>
    <mergeCell ref="B5:M5"/>
    <mergeCell ref="A8:A30"/>
    <mergeCell ref="A31:A40"/>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54F1-1D73-4745-97B6-C7111580D81C}">
  <sheetPr>
    <pageSetUpPr fitToPage="1"/>
  </sheetPr>
  <dimension ref="A1:X700"/>
  <sheetViews>
    <sheetView showGridLines="0" zoomScale="60" zoomScaleNormal="55" workbookViewId="0">
      <selection activeCell="M22" sqref="M22"/>
    </sheetView>
  </sheetViews>
  <sheetFormatPr defaultRowHeight="15"/>
  <cols>
    <col min="1" max="1" width="2.42578125" style="492" customWidth="1"/>
    <col min="2" max="2" width="42.5703125" style="492" bestFit="1" customWidth="1"/>
    <col min="3" max="3" width="40.28515625" style="492" customWidth="1"/>
    <col min="4" max="5" width="30.85546875" style="492" customWidth="1"/>
    <col min="6" max="6" width="24.28515625" style="492" customWidth="1"/>
    <col min="7" max="7" width="41.140625" style="492" customWidth="1"/>
    <col min="8" max="8" width="19.42578125" style="492" bestFit="1" customWidth="1"/>
    <col min="9" max="9" width="20.7109375" style="492" customWidth="1"/>
    <col min="10" max="10" width="16.85546875" style="492" customWidth="1"/>
    <col min="11" max="11" width="17.7109375" style="492" customWidth="1"/>
    <col min="12" max="12" width="23.140625" style="492" bestFit="1" customWidth="1"/>
    <col min="13" max="13" width="18.42578125" style="492" customWidth="1"/>
    <col min="14" max="14" width="15.7109375" style="492" bestFit="1" customWidth="1"/>
    <col min="15" max="18" width="37.7109375" style="492" customWidth="1"/>
    <col min="19" max="19" width="51.85546875" style="492" customWidth="1"/>
    <col min="20" max="20" width="91" style="492" customWidth="1"/>
    <col min="21" max="24" width="44.140625" style="492" customWidth="1"/>
    <col min="25" max="16384" width="9.140625" style="492"/>
  </cols>
  <sheetData>
    <row r="1" spans="1:24" ht="15.75" thickBot="1">
      <c r="A1" s="491"/>
      <c r="B1" s="491"/>
      <c r="C1" s="491"/>
      <c r="D1" s="491"/>
      <c r="E1" s="491"/>
      <c r="F1" s="491"/>
      <c r="G1" s="491"/>
      <c r="H1" s="491"/>
      <c r="I1" s="491"/>
      <c r="J1" s="491"/>
      <c r="K1" s="491"/>
      <c r="L1" s="491"/>
      <c r="M1" s="491"/>
      <c r="N1" s="491"/>
      <c r="O1" s="491"/>
      <c r="P1" s="491"/>
      <c r="Q1" s="491"/>
      <c r="R1" s="491"/>
      <c r="S1" s="491"/>
      <c r="T1" s="491"/>
      <c r="U1" s="491"/>
      <c r="V1" s="491"/>
      <c r="W1" s="491"/>
      <c r="X1" s="491"/>
    </row>
    <row r="2" spans="1:24" ht="16.5" thickBot="1">
      <c r="A2" s="491"/>
      <c r="B2" s="679" t="s">
        <v>0</v>
      </c>
      <c r="C2" s="680"/>
      <c r="D2" s="680"/>
      <c r="E2" s="680"/>
      <c r="F2" s="680"/>
      <c r="G2" s="680"/>
      <c r="H2" s="680"/>
      <c r="I2" s="680"/>
      <c r="J2" s="680"/>
      <c r="K2" s="680"/>
      <c r="L2" s="680"/>
      <c r="M2" s="680"/>
      <c r="N2" s="680"/>
      <c r="O2" s="680"/>
      <c r="P2" s="680"/>
      <c r="Q2" s="680"/>
      <c r="R2" s="680"/>
      <c r="S2" s="680"/>
      <c r="T2" s="680"/>
      <c r="U2" s="680"/>
      <c r="V2" s="680"/>
      <c r="W2" s="680"/>
      <c r="X2" s="681"/>
    </row>
    <row r="3" spans="1:24" ht="88.5" customHeight="1" thickBot="1">
      <c r="A3" s="491"/>
      <c r="B3" s="493" t="s">
        <v>1</v>
      </c>
      <c r="C3" s="494" t="s">
        <v>2</v>
      </c>
      <c r="D3" s="495" t="s">
        <v>3</v>
      </c>
      <c r="E3" s="494" t="s">
        <v>4</v>
      </c>
      <c r="F3" s="496" t="s">
        <v>5</v>
      </c>
      <c r="G3" s="497" t="s">
        <v>6</v>
      </c>
      <c r="H3" s="682" t="s">
        <v>7</v>
      </c>
      <c r="I3" s="683"/>
      <c r="J3" s="683"/>
      <c r="K3" s="683"/>
      <c r="L3" s="683"/>
      <c r="M3" s="684"/>
      <c r="N3" s="495" t="s">
        <v>8</v>
      </c>
      <c r="O3" s="495" t="s">
        <v>9</v>
      </c>
      <c r="P3" s="494" t="s">
        <v>10</v>
      </c>
      <c r="Q3" s="495" t="s">
        <v>11</v>
      </c>
      <c r="R3" s="494" t="s">
        <v>12</v>
      </c>
      <c r="S3" s="495" t="s">
        <v>13</v>
      </c>
      <c r="T3" s="494" t="s">
        <v>14</v>
      </c>
      <c r="U3" s="495" t="s">
        <v>15</v>
      </c>
      <c r="V3" s="494" t="s">
        <v>16</v>
      </c>
      <c r="W3" s="498" t="s">
        <v>17</v>
      </c>
      <c r="X3" s="497" t="s">
        <v>18</v>
      </c>
    </row>
    <row r="4" spans="1:24" ht="29.25" customHeight="1" thickBot="1">
      <c r="A4" s="491"/>
      <c r="B4" s="499"/>
      <c r="C4" s="500"/>
      <c r="D4" s="500"/>
      <c r="E4" s="500"/>
      <c r="F4" s="500"/>
      <c r="G4" s="500"/>
      <c r="H4" s="501" t="s">
        <v>19</v>
      </c>
      <c r="I4" s="502" t="s">
        <v>20</v>
      </c>
      <c r="J4" s="501" t="s">
        <v>21</v>
      </c>
      <c r="K4" s="502" t="s">
        <v>22</v>
      </c>
      <c r="L4" s="501" t="s">
        <v>23</v>
      </c>
      <c r="M4" s="502" t="s">
        <v>24</v>
      </c>
      <c r="N4" s="501"/>
      <c r="O4" s="500"/>
      <c r="P4" s="500"/>
      <c r="Q4" s="500"/>
      <c r="R4" s="500"/>
      <c r="S4" s="500"/>
      <c r="T4" s="503"/>
      <c r="U4" s="500"/>
      <c r="V4" s="500"/>
      <c r="W4" s="500"/>
      <c r="X4" s="500"/>
    </row>
    <row r="5" spans="1:24" ht="32.25" customHeight="1">
      <c r="A5" s="491"/>
      <c r="B5" s="685" t="s">
        <v>1718</v>
      </c>
      <c r="C5" s="686"/>
      <c r="D5" s="686"/>
      <c r="E5" s="686"/>
      <c r="F5" s="686"/>
      <c r="G5" s="686"/>
      <c r="H5" s="686"/>
      <c r="I5" s="686"/>
      <c r="J5" s="686"/>
      <c r="K5" s="686"/>
      <c r="L5" s="686"/>
      <c r="M5" s="687"/>
      <c r="N5" s="491"/>
      <c r="O5" s="491"/>
      <c r="P5" s="491"/>
      <c r="Q5" s="491"/>
      <c r="R5" s="491"/>
      <c r="S5" s="491"/>
      <c r="T5" s="491"/>
      <c r="U5" s="491"/>
      <c r="V5" s="491"/>
      <c r="W5" s="491"/>
      <c r="X5" s="491"/>
    </row>
    <row r="6" spans="1:24" s="510" customFormat="1" ht="324">
      <c r="A6" s="491"/>
      <c r="B6" s="504" t="s">
        <v>1719</v>
      </c>
      <c r="C6" s="504" t="s">
        <v>1720</v>
      </c>
      <c r="D6" s="505" t="s">
        <v>1721</v>
      </c>
      <c r="E6" s="505" t="s">
        <v>1722</v>
      </c>
      <c r="F6" s="505" t="s">
        <v>1723</v>
      </c>
      <c r="G6" s="505" t="s">
        <v>1724</v>
      </c>
      <c r="H6" s="506" t="s">
        <v>28</v>
      </c>
      <c r="I6" s="507" t="s">
        <v>28</v>
      </c>
      <c r="J6" s="506" t="s">
        <v>28</v>
      </c>
      <c r="K6" s="507" t="s">
        <v>28</v>
      </c>
      <c r="L6" s="506" t="s">
        <v>28</v>
      </c>
      <c r="M6" s="507" t="s">
        <v>28</v>
      </c>
      <c r="N6" s="508" t="s">
        <v>1725</v>
      </c>
      <c r="O6" s="508" t="s">
        <v>1726</v>
      </c>
      <c r="P6" s="508" t="s">
        <v>1727</v>
      </c>
      <c r="Q6" s="509" t="s">
        <v>1321</v>
      </c>
      <c r="R6" s="509" t="s">
        <v>1213</v>
      </c>
      <c r="S6" s="508" t="s">
        <v>1728</v>
      </c>
      <c r="T6" s="508" t="s">
        <v>1729</v>
      </c>
      <c r="U6" s="508" t="s">
        <v>1730</v>
      </c>
      <c r="V6" s="508" t="s">
        <v>1731</v>
      </c>
      <c r="W6" s="508" t="s">
        <v>1732</v>
      </c>
      <c r="X6" s="508" t="s">
        <v>1733</v>
      </c>
    </row>
    <row r="7" spans="1:24" s="510" customFormat="1" ht="344.25">
      <c r="A7" s="491"/>
      <c r="B7" s="504" t="s">
        <v>1719</v>
      </c>
      <c r="C7" s="504" t="s">
        <v>1720</v>
      </c>
      <c r="D7" s="505" t="s">
        <v>1734</v>
      </c>
      <c r="E7" s="505" t="s">
        <v>1735</v>
      </c>
      <c r="F7" s="505" t="s">
        <v>1736</v>
      </c>
      <c r="G7" s="505" t="s">
        <v>1737</v>
      </c>
      <c r="H7" s="505" t="s">
        <v>1738</v>
      </c>
      <c r="I7" s="508" t="s">
        <v>1739</v>
      </c>
      <c r="J7" s="508" t="s">
        <v>1740</v>
      </c>
      <c r="K7" s="508" t="s">
        <v>1740</v>
      </c>
      <c r="L7" s="508" t="s">
        <v>1741</v>
      </c>
      <c r="M7" s="508" t="s">
        <v>1741</v>
      </c>
      <c r="N7" s="508" t="s">
        <v>1742</v>
      </c>
      <c r="O7" s="508" t="s">
        <v>1743</v>
      </c>
      <c r="P7" s="508" t="s">
        <v>1744</v>
      </c>
      <c r="Q7" s="509" t="s">
        <v>1321</v>
      </c>
      <c r="R7" s="509" t="s">
        <v>1213</v>
      </c>
      <c r="S7" s="508" t="s">
        <v>1745</v>
      </c>
      <c r="T7" s="508" t="s">
        <v>1746</v>
      </c>
      <c r="U7" s="508" t="s">
        <v>1747</v>
      </c>
      <c r="V7" s="508" t="s">
        <v>1748</v>
      </c>
      <c r="W7" s="508" t="s">
        <v>1749</v>
      </c>
      <c r="X7" s="508" t="s">
        <v>1750</v>
      </c>
    </row>
    <row r="8" spans="1:24" s="510" customFormat="1" ht="263.25">
      <c r="A8" s="491"/>
      <c r="B8" s="504" t="s">
        <v>1719</v>
      </c>
      <c r="C8" s="504" t="s">
        <v>1720</v>
      </c>
      <c r="D8" s="505" t="s">
        <v>1751</v>
      </c>
      <c r="E8" s="505" t="s">
        <v>1752</v>
      </c>
      <c r="F8" s="505" t="s">
        <v>1753</v>
      </c>
      <c r="G8" s="505" t="s">
        <v>1754</v>
      </c>
      <c r="H8" s="505"/>
      <c r="I8" s="508"/>
      <c r="J8" s="508"/>
      <c r="K8" s="508"/>
      <c r="L8" s="508"/>
      <c r="M8" s="508"/>
      <c r="N8" s="508" t="s">
        <v>1755</v>
      </c>
      <c r="O8" s="508" t="s">
        <v>1756</v>
      </c>
      <c r="P8" s="508" t="s">
        <v>1757</v>
      </c>
      <c r="Q8" s="509" t="s">
        <v>1321</v>
      </c>
      <c r="R8" s="509" t="s">
        <v>1213</v>
      </c>
      <c r="S8" s="508" t="s">
        <v>1758</v>
      </c>
      <c r="T8" s="508" t="s">
        <v>1759</v>
      </c>
      <c r="U8" s="508" t="s">
        <v>1760</v>
      </c>
      <c r="V8" s="508" t="s">
        <v>1761</v>
      </c>
      <c r="W8" s="508" t="s">
        <v>1762</v>
      </c>
      <c r="X8" s="508" t="s">
        <v>1763</v>
      </c>
    </row>
    <row r="9" spans="1:24" s="510" customFormat="1" ht="283.5">
      <c r="A9" s="491"/>
      <c r="B9" s="504" t="s">
        <v>1719</v>
      </c>
      <c r="C9" s="504" t="s">
        <v>1720</v>
      </c>
      <c r="D9" s="505" t="s">
        <v>1764</v>
      </c>
      <c r="E9" s="505" t="s">
        <v>1765</v>
      </c>
      <c r="F9" s="505" t="s">
        <v>1766</v>
      </c>
      <c r="G9" s="505" t="s">
        <v>1767</v>
      </c>
      <c r="H9" s="505"/>
      <c r="I9" s="508"/>
      <c r="J9" s="508"/>
      <c r="K9" s="508"/>
      <c r="L9" s="508"/>
      <c r="M9" s="508"/>
      <c r="N9" s="508" t="s">
        <v>1768</v>
      </c>
      <c r="O9" s="508" t="s">
        <v>1769</v>
      </c>
      <c r="P9" s="508" t="s">
        <v>1770</v>
      </c>
      <c r="Q9" s="509" t="s">
        <v>1321</v>
      </c>
      <c r="R9" s="509" t="s">
        <v>1213</v>
      </c>
      <c r="S9" s="508" t="s">
        <v>1771</v>
      </c>
      <c r="T9" s="508" t="s">
        <v>1772</v>
      </c>
      <c r="U9" s="508" t="s">
        <v>1760</v>
      </c>
      <c r="V9" s="508" t="s">
        <v>1761</v>
      </c>
      <c r="W9" s="508" t="s">
        <v>1762</v>
      </c>
      <c r="X9" s="508" t="s">
        <v>1763</v>
      </c>
    </row>
    <row r="10" spans="1:24" s="510" customFormat="1" ht="263.25">
      <c r="A10" s="491"/>
      <c r="B10" s="504" t="s">
        <v>1719</v>
      </c>
      <c r="C10" s="504" t="s">
        <v>1720</v>
      </c>
      <c r="D10" s="505" t="s">
        <v>1773</v>
      </c>
      <c r="E10" s="505" t="s">
        <v>1774</v>
      </c>
      <c r="F10" s="505" t="s">
        <v>1753</v>
      </c>
      <c r="G10" s="505" t="s">
        <v>1775</v>
      </c>
      <c r="H10" s="505"/>
      <c r="I10" s="508"/>
      <c r="J10" s="508"/>
      <c r="K10" s="508"/>
      <c r="L10" s="508"/>
      <c r="M10" s="508"/>
      <c r="N10" s="508" t="s">
        <v>1776</v>
      </c>
      <c r="O10" s="508" t="s">
        <v>1756</v>
      </c>
      <c r="P10" s="508" t="s">
        <v>1757</v>
      </c>
      <c r="Q10" s="509" t="s">
        <v>1321</v>
      </c>
      <c r="R10" s="509" t="s">
        <v>1213</v>
      </c>
      <c r="S10" s="508" t="s">
        <v>1758</v>
      </c>
      <c r="T10" s="508" t="s">
        <v>1759</v>
      </c>
      <c r="U10" s="508" t="s">
        <v>1760</v>
      </c>
      <c r="V10" s="508" t="s">
        <v>1761</v>
      </c>
      <c r="W10" s="508" t="s">
        <v>1762</v>
      </c>
      <c r="X10" s="508" t="s">
        <v>1763</v>
      </c>
    </row>
    <row r="11" spans="1:24" ht="243">
      <c r="A11" s="491"/>
      <c r="B11" s="504" t="s">
        <v>1719</v>
      </c>
      <c r="C11" s="504" t="s">
        <v>1720</v>
      </c>
      <c r="D11" s="505" t="s">
        <v>1777</v>
      </c>
      <c r="E11" s="505" t="s">
        <v>1778</v>
      </c>
      <c r="F11" s="505" t="s">
        <v>1779</v>
      </c>
      <c r="G11" s="505" t="s">
        <v>1780</v>
      </c>
      <c r="H11" s="506" t="s">
        <v>28</v>
      </c>
      <c r="I11" s="507" t="s">
        <v>28</v>
      </c>
      <c r="J11" s="506" t="s">
        <v>28</v>
      </c>
      <c r="K11" s="507" t="s">
        <v>28</v>
      </c>
      <c r="L11" s="506" t="s">
        <v>28</v>
      </c>
      <c r="M11" s="507" t="s">
        <v>28</v>
      </c>
      <c r="N11" s="508" t="s">
        <v>1781</v>
      </c>
      <c r="O11" s="508" t="s">
        <v>1782</v>
      </c>
      <c r="P11" s="508" t="s">
        <v>1783</v>
      </c>
      <c r="Q11" s="509" t="s">
        <v>1321</v>
      </c>
      <c r="R11" s="509" t="s">
        <v>1213</v>
      </c>
      <c r="S11" s="508" t="s">
        <v>1784</v>
      </c>
      <c r="T11" s="508" t="s">
        <v>1785</v>
      </c>
      <c r="U11" s="508" t="s">
        <v>1760</v>
      </c>
      <c r="V11" s="508" t="s">
        <v>1761</v>
      </c>
      <c r="W11" s="508" t="s">
        <v>1762</v>
      </c>
      <c r="X11" s="508" t="s">
        <v>1763</v>
      </c>
    </row>
    <row r="12" spans="1:24" ht="409.5">
      <c r="A12" s="491"/>
      <c r="B12" s="504" t="s">
        <v>1719</v>
      </c>
      <c r="C12" s="504" t="s">
        <v>1720</v>
      </c>
      <c r="D12" s="505" t="s">
        <v>1786</v>
      </c>
      <c r="E12" s="505" t="s">
        <v>1787</v>
      </c>
      <c r="F12" s="506" t="s">
        <v>28</v>
      </c>
      <c r="G12" s="507" t="s">
        <v>28</v>
      </c>
      <c r="H12" s="505" t="s">
        <v>1788</v>
      </c>
      <c r="I12" s="508" t="s">
        <v>1789</v>
      </c>
      <c r="J12" s="508">
        <v>0</v>
      </c>
      <c r="K12" s="508">
        <v>0</v>
      </c>
      <c r="L12" s="508" t="s">
        <v>1790</v>
      </c>
      <c r="M12" s="508" t="s">
        <v>1791</v>
      </c>
      <c r="N12" s="508" t="s">
        <v>1781</v>
      </c>
      <c r="O12" s="508" t="s">
        <v>1792</v>
      </c>
      <c r="P12" s="508" t="s">
        <v>1744</v>
      </c>
      <c r="Q12" s="511" t="s">
        <v>1321</v>
      </c>
      <c r="R12" s="511" t="s">
        <v>1213</v>
      </c>
      <c r="S12" s="508" t="s">
        <v>1793</v>
      </c>
      <c r="T12" s="508" t="s">
        <v>1794</v>
      </c>
      <c r="U12" s="508" t="s">
        <v>1795</v>
      </c>
      <c r="V12" s="508" t="s">
        <v>1796</v>
      </c>
      <c r="W12" s="508" t="s">
        <v>1797</v>
      </c>
      <c r="X12" s="508" t="s">
        <v>1798</v>
      </c>
    </row>
    <row r="184" ht="57.95" customHeight="1"/>
    <row r="238" ht="81.95" customHeight="1"/>
    <row r="273" ht="53.45" customHeight="1"/>
    <row r="274" ht="50.45" customHeight="1"/>
    <row r="285" ht="42.6" customHeight="1"/>
    <row r="286" ht="48.95" customHeight="1"/>
    <row r="287" ht="51.6" customHeight="1"/>
    <row r="288" ht="48.95" customHeight="1"/>
    <row r="302" ht="60.6" customHeight="1"/>
    <row r="686" ht="101.45" customHeight="1"/>
    <row r="687" ht="89.45" customHeight="1"/>
    <row r="688" ht="96.95" customHeight="1"/>
    <row r="689" ht="45.95" customHeight="1"/>
    <row r="690" ht="75" customHeight="1"/>
    <row r="691" ht="363.6" customHeight="1"/>
    <row r="692" ht="70.5" customHeight="1"/>
    <row r="693" ht="68.099999999999994" customHeight="1"/>
    <row r="694" ht="188.1" customHeight="1"/>
    <row r="695" ht="405.75" customHeight="1"/>
    <row r="696" ht="134.44999999999999" customHeight="1"/>
    <row r="697" ht="167.1" customHeight="1"/>
    <row r="698" ht="51" customHeight="1"/>
    <row r="699" ht="60.6" customHeight="1"/>
    <row r="700" ht="108" customHeight="1"/>
  </sheetData>
  <mergeCells count="3">
    <mergeCell ref="B2:X2"/>
    <mergeCell ref="H3:M3"/>
    <mergeCell ref="B5:M5"/>
  </mergeCells>
  <printOptions horizontalCentered="1"/>
  <pageMargins left="0.19685039370078741" right="0.19685039370078741" top="0.94488188976377963" bottom="0.94488188976377963" header="0.31496062992125984" footer="0.31496062992125984"/>
  <pageSetup paperSize="8" scale="25" orientation="landscape" r:id="rId1"/>
  <headerFooter>
    <oddFooter>&amp;L&amp;F
list: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2BF2C-1DA3-46C9-B313-3E02C7CAB0CC}">
  <dimension ref="A1:Y29"/>
  <sheetViews>
    <sheetView showGridLines="0" topLeftCell="B1" zoomScale="60" zoomScaleNormal="60" workbookViewId="0">
      <pane ySplit="3" topLeftCell="A4" activePane="bottomLeft" state="frozen"/>
      <selection pane="bottomLeft" activeCell="S29" sqref="S29"/>
    </sheetView>
  </sheetViews>
  <sheetFormatPr defaultColWidth="8.85546875" defaultRowHeight="15"/>
  <cols>
    <col min="1" max="1" width="2.42578125" hidden="1" customWidth="1"/>
    <col min="2" max="2" width="25.28515625" customWidth="1"/>
    <col min="3" max="3" width="13" hidden="1" customWidth="1"/>
    <col min="4" max="4" width="24.140625" customWidth="1"/>
    <col min="5" max="5" width="15.42578125" style="524" hidden="1" customWidth="1"/>
    <col min="6" max="6" width="21.42578125" style="524" customWidth="1"/>
    <col min="7" max="7" width="16.140625" style="524" hidden="1" customWidth="1"/>
    <col min="8" max="8" width="10.85546875" customWidth="1"/>
    <col min="9" max="9" width="14" hidden="1" customWidth="1"/>
    <col min="10" max="10" width="8.42578125" customWidth="1"/>
    <col min="11" max="11" width="13.42578125" hidden="1" customWidth="1"/>
    <col min="12" max="12" width="6.42578125" customWidth="1"/>
    <col min="13" max="13" width="6.42578125" hidden="1" customWidth="1"/>
    <col min="14" max="14" width="18" customWidth="1"/>
    <col min="15" max="15" width="20.42578125" style="105" customWidth="1"/>
    <col min="16" max="16" width="0" hidden="1" customWidth="1"/>
    <col min="17" max="17" width="12" bestFit="1" customWidth="1"/>
    <col min="18" max="18" width="16.42578125" hidden="1" customWidth="1"/>
    <col min="19" max="19" width="42.140625" style="105" customWidth="1"/>
    <col min="20" max="20" width="17.42578125" hidden="1" customWidth="1"/>
    <col min="21" max="21" width="35.85546875" style="105" customWidth="1"/>
    <col min="22" max="22" width="8.42578125" hidden="1" customWidth="1"/>
    <col min="23" max="23" width="24.42578125" style="105" customWidth="1"/>
    <col min="24" max="24" width="8.85546875" hidden="1" customWidth="1"/>
  </cols>
  <sheetData>
    <row r="1" spans="2:25" ht="16.5" thickBot="1">
      <c r="B1" s="614" t="s">
        <v>0</v>
      </c>
      <c r="C1" s="615"/>
      <c r="D1" s="615"/>
      <c r="E1" s="615"/>
      <c r="F1" s="615"/>
      <c r="G1" s="615"/>
      <c r="H1" s="615"/>
      <c r="I1" s="615"/>
      <c r="J1" s="615"/>
      <c r="K1" s="615"/>
      <c r="L1" s="615"/>
      <c r="M1" s="615"/>
      <c r="N1" s="615"/>
      <c r="O1" s="615"/>
      <c r="P1" s="615"/>
      <c r="Q1" s="615"/>
      <c r="R1" s="615"/>
      <c r="S1" s="615"/>
      <c r="T1" s="615"/>
      <c r="U1" s="615"/>
      <c r="V1" s="615"/>
      <c r="W1" s="615"/>
      <c r="X1" s="616"/>
    </row>
    <row r="2" spans="2:25" ht="79.5" thickBot="1">
      <c r="B2" s="86" t="s">
        <v>1</v>
      </c>
      <c r="C2" s="87" t="s">
        <v>2</v>
      </c>
      <c r="D2" s="86" t="s">
        <v>3</v>
      </c>
      <c r="E2" s="87" t="s">
        <v>4</v>
      </c>
      <c r="F2" s="88" t="s">
        <v>5</v>
      </c>
      <c r="G2" s="89" t="s">
        <v>6</v>
      </c>
      <c r="H2" s="617" t="s">
        <v>7</v>
      </c>
      <c r="I2" s="618"/>
      <c r="J2" s="618"/>
      <c r="K2" s="618"/>
      <c r="L2" s="618"/>
      <c r="M2" s="619"/>
      <c r="N2" s="90" t="s">
        <v>8</v>
      </c>
      <c r="O2" s="90" t="s">
        <v>9</v>
      </c>
      <c r="P2" s="91" t="s">
        <v>10</v>
      </c>
      <c r="Q2" s="90" t="s">
        <v>11</v>
      </c>
      <c r="R2" s="91" t="s">
        <v>12</v>
      </c>
      <c r="S2" s="90" t="s">
        <v>13</v>
      </c>
      <c r="T2" s="91" t="s">
        <v>14</v>
      </c>
      <c r="U2" s="90" t="s">
        <v>15</v>
      </c>
      <c r="V2" s="91" t="s">
        <v>16</v>
      </c>
      <c r="W2" s="92" t="s">
        <v>17</v>
      </c>
      <c r="X2" s="89" t="s">
        <v>18</v>
      </c>
    </row>
    <row r="3" spans="2:25" ht="32.25" thickBot="1">
      <c r="B3" s="93"/>
      <c r="C3" s="94"/>
      <c r="D3" s="95"/>
      <c r="E3" s="94"/>
      <c r="F3" s="94"/>
      <c r="G3" s="94"/>
      <c r="H3" s="96" t="s">
        <v>19</v>
      </c>
      <c r="I3" s="97" t="s">
        <v>20</v>
      </c>
      <c r="J3" s="96" t="s">
        <v>21</v>
      </c>
      <c r="K3" s="97" t="s">
        <v>22</v>
      </c>
      <c r="L3" s="96" t="s">
        <v>23</v>
      </c>
      <c r="M3" s="97" t="s">
        <v>24</v>
      </c>
      <c r="N3" s="96"/>
      <c r="O3" s="94"/>
      <c r="P3" s="94"/>
      <c r="Q3" s="94"/>
      <c r="R3" s="94"/>
      <c r="S3" s="94"/>
      <c r="T3" s="99"/>
      <c r="U3" s="94"/>
      <c r="V3" s="94"/>
      <c r="W3" s="94"/>
      <c r="X3" s="94"/>
    </row>
    <row r="4" spans="2:25" ht="15.75" customHeight="1">
      <c r="B4" s="629" t="s">
        <v>1799</v>
      </c>
      <c r="C4" s="630"/>
      <c r="D4" s="630"/>
      <c r="E4" s="630"/>
      <c r="F4" s="630"/>
      <c r="G4" s="630"/>
      <c r="H4" s="630"/>
      <c r="I4" s="630"/>
      <c r="J4" s="630"/>
      <c r="K4" s="630"/>
      <c r="L4" s="630"/>
      <c r="M4" s="631"/>
    </row>
    <row r="5" spans="2:25" s="515" customFormat="1" ht="15.75">
      <c r="B5" s="512" t="s">
        <v>1800</v>
      </c>
      <c r="C5" s="513"/>
      <c r="D5" s="514"/>
      <c r="E5" s="514"/>
      <c r="F5" s="514"/>
      <c r="G5" s="514"/>
      <c r="H5" s="514"/>
      <c r="I5" s="514"/>
      <c r="J5" s="514"/>
      <c r="K5" s="514"/>
      <c r="L5" s="514"/>
      <c r="M5" s="514"/>
      <c r="N5" s="514"/>
      <c r="O5" s="514"/>
      <c r="P5" s="514"/>
      <c r="Q5" s="514"/>
      <c r="R5" s="514"/>
      <c r="S5" s="514"/>
      <c r="T5" s="514"/>
      <c r="U5" s="514"/>
      <c r="V5" s="514"/>
      <c r="W5" s="514"/>
      <c r="X5"/>
      <c r="Y5"/>
    </row>
    <row r="6" spans="2:25" s="515" customFormat="1" ht="110.25">
      <c r="B6" s="131" t="s">
        <v>1801</v>
      </c>
      <c r="C6" s="516"/>
      <c r="D6" s="517" t="s">
        <v>1802</v>
      </c>
      <c r="E6" s="518"/>
      <c r="F6" s="518" t="s">
        <v>129</v>
      </c>
      <c r="G6" s="518"/>
      <c r="H6" s="519" t="s">
        <v>1803</v>
      </c>
      <c r="I6" s="520"/>
      <c r="J6" s="520">
        <v>110</v>
      </c>
      <c r="K6" s="520"/>
      <c r="L6" s="520">
        <v>270</v>
      </c>
      <c r="M6" s="161"/>
      <c r="N6" s="161" t="s">
        <v>903</v>
      </c>
      <c r="O6" s="131" t="s">
        <v>1804</v>
      </c>
      <c r="P6" s="518"/>
      <c r="Q6" s="518" t="s">
        <v>526</v>
      </c>
      <c r="R6" s="518"/>
      <c r="S6" s="109" t="s">
        <v>1805</v>
      </c>
      <c r="T6" s="518"/>
      <c r="U6" s="109" t="s">
        <v>1806</v>
      </c>
      <c r="V6" s="518"/>
      <c r="W6" s="131" t="s">
        <v>1804</v>
      </c>
      <c r="X6"/>
    </row>
    <row r="7" spans="2:25" s="515" customFormat="1" ht="94.5">
      <c r="B7" s="131" t="s">
        <v>1801</v>
      </c>
      <c r="C7" s="516"/>
      <c r="D7" s="517" t="s">
        <v>1807</v>
      </c>
      <c r="E7" s="161"/>
      <c r="F7" s="518" t="s">
        <v>129</v>
      </c>
      <c r="G7" s="518"/>
      <c r="H7" s="519" t="s">
        <v>144</v>
      </c>
      <c r="I7" s="520"/>
      <c r="J7" s="520">
        <v>72</v>
      </c>
      <c r="K7" s="520"/>
      <c r="L7" s="520">
        <v>162</v>
      </c>
      <c r="M7" s="161"/>
      <c r="N7" s="161" t="s">
        <v>910</v>
      </c>
      <c r="O7" s="131" t="s">
        <v>1804</v>
      </c>
      <c r="P7" s="161"/>
      <c r="Q7" s="161" t="s">
        <v>63</v>
      </c>
      <c r="R7" s="161"/>
      <c r="S7" s="131" t="s">
        <v>1808</v>
      </c>
      <c r="T7" s="161"/>
      <c r="U7" s="109" t="s">
        <v>1809</v>
      </c>
      <c r="V7" s="161"/>
      <c r="W7" s="131" t="s">
        <v>1804</v>
      </c>
      <c r="X7"/>
      <c r="Y7"/>
    </row>
    <row r="8" spans="2:25" s="515" customFormat="1" ht="94.5">
      <c r="B8" s="131" t="s">
        <v>1801</v>
      </c>
      <c r="C8" s="516"/>
      <c r="D8" s="517" t="s">
        <v>1810</v>
      </c>
      <c r="E8" s="518"/>
      <c r="F8" s="518" t="s">
        <v>129</v>
      </c>
      <c r="G8" s="518"/>
      <c r="H8" s="519" t="s">
        <v>144</v>
      </c>
      <c r="I8" s="520"/>
      <c r="J8" s="520">
        <v>407</v>
      </c>
      <c r="K8" s="520"/>
      <c r="L8" s="520">
        <v>967</v>
      </c>
      <c r="M8" s="161"/>
      <c r="N8" s="161" t="s">
        <v>910</v>
      </c>
      <c r="O8" s="131" t="s">
        <v>1804</v>
      </c>
      <c r="P8" s="518"/>
      <c r="Q8" s="518" t="s">
        <v>526</v>
      </c>
      <c r="R8" s="518"/>
      <c r="S8" s="109" t="s">
        <v>1811</v>
      </c>
      <c r="T8" s="521"/>
      <c r="U8" s="109" t="s">
        <v>1812</v>
      </c>
      <c r="V8" s="518"/>
      <c r="W8" s="131" t="s">
        <v>1804</v>
      </c>
      <c r="X8"/>
    </row>
    <row r="9" spans="2:25" s="515" customFormat="1" ht="142.5" customHeight="1">
      <c r="B9" s="131" t="s">
        <v>1801</v>
      </c>
      <c r="C9" s="516"/>
      <c r="D9" s="131" t="s">
        <v>1813</v>
      </c>
      <c r="E9" s="518"/>
      <c r="F9" s="518" t="s">
        <v>129</v>
      </c>
      <c r="G9" s="518"/>
      <c r="H9" s="519" t="s">
        <v>144</v>
      </c>
      <c r="I9" s="520"/>
      <c r="J9" s="520">
        <v>191</v>
      </c>
      <c r="K9" s="520"/>
      <c r="L9" s="520">
        <v>305</v>
      </c>
      <c r="M9" s="161"/>
      <c r="N9" s="161" t="s">
        <v>910</v>
      </c>
      <c r="O9" s="131" t="s">
        <v>1804</v>
      </c>
      <c r="P9" s="518"/>
      <c r="Q9" s="518" t="s">
        <v>526</v>
      </c>
      <c r="R9" s="518"/>
      <c r="S9" s="131" t="s">
        <v>1814</v>
      </c>
      <c r="T9" s="161"/>
      <c r="U9" s="131" t="s">
        <v>1812</v>
      </c>
      <c r="V9" s="518"/>
      <c r="W9" s="131" t="s">
        <v>1804</v>
      </c>
      <c r="X9"/>
    </row>
    <row r="10" spans="2:25" s="515" customFormat="1" ht="15.75">
      <c r="B10" s="512" t="s">
        <v>1815</v>
      </c>
      <c r="C10" s="513"/>
      <c r="D10" s="514"/>
      <c r="E10" s="514"/>
      <c r="F10" s="514"/>
      <c r="G10" s="514"/>
      <c r="H10" s="514"/>
      <c r="I10" s="514"/>
      <c r="J10" s="514"/>
      <c r="K10" s="514"/>
      <c r="L10" s="514"/>
      <c r="M10" s="514"/>
      <c r="N10" s="514"/>
      <c r="O10" s="514"/>
      <c r="P10" s="514"/>
      <c r="Q10" s="514"/>
      <c r="R10" s="514"/>
      <c r="S10" s="514"/>
      <c r="T10" s="514"/>
      <c r="U10" s="514"/>
      <c r="V10" s="514"/>
      <c r="W10" s="514"/>
      <c r="X10"/>
      <c r="Y10"/>
    </row>
    <row r="11" spans="2:25" s="515" customFormat="1" ht="110.25">
      <c r="B11" s="131" t="s">
        <v>1816</v>
      </c>
      <c r="C11" s="161"/>
      <c r="D11" s="131" t="s">
        <v>1817</v>
      </c>
      <c r="E11" s="131" t="s">
        <v>1818</v>
      </c>
      <c r="F11" s="131" t="s">
        <v>1819</v>
      </c>
      <c r="G11" s="521"/>
      <c r="H11" s="519" t="s">
        <v>129</v>
      </c>
      <c r="I11" s="520"/>
      <c r="J11" s="520" t="s">
        <v>129</v>
      </c>
      <c r="K11" s="520"/>
      <c r="L11" s="520" t="s">
        <v>129</v>
      </c>
      <c r="M11" s="521"/>
      <c r="N11" s="161" t="s">
        <v>1820</v>
      </c>
      <c r="O11" s="131" t="s">
        <v>1804</v>
      </c>
      <c r="P11" s="521"/>
      <c r="Q11" s="161" t="s">
        <v>526</v>
      </c>
      <c r="R11" s="521"/>
      <c r="S11" s="131" t="s">
        <v>1821</v>
      </c>
      <c r="T11" s="521"/>
      <c r="U11" s="131" t="s">
        <v>1822</v>
      </c>
      <c r="V11" s="521"/>
      <c r="W11" s="131" t="s">
        <v>1804</v>
      </c>
      <c r="X11" s="521"/>
    </row>
    <row r="12" spans="2:25" ht="110.25">
      <c r="B12" s="131" t="s">
        <v>1816</v>
      </c>
      <c r="C12" s="161"/>
      <c r="D12" s="131" t="s">
        <v>1823</v>
      </c>
      <c r="E12" s="521"/>
      <c r="F12" s="131" t="s">
        <v>1819</v>
      </c>
      <c r="G12" s="521"/>
      <c r="H12" s="519" t="s">
        <v>129</v>
      </c>
      <c r="I12" s="520"/>
      <c r="J12" s="520" t="s">
        <v>129</v>
      </c>
      <c r="K12" s="520"/>
      <c r="L12" s="520" t="s">
        <v>129</v>
      </c>
      <c r="M12" s="521"/>
      <c r="N12" s="161" t="s">
        <v>537</v>
      </c>
      <c r="O12" s="131" t="s">
        <v>1804</v>
      </c>
      <c r="P12" s="521"/>
      <c r="Q12" s="161" t="s">
        <v>526</v>
      </c>
      <c r="R12" s="521"/>
      <c r="S12" s="131" t="s">
        <v>1824</v>
      </c>
      <c r="T12" s="521"/>
      <c r="U12" s="131" t="s">
        <v>1822</v>
      </c>
      <c r="V12" s="521"/>
      <c r="W12" s="131" t="s">
        <v>1804</v>
      </c>
      <c r="X12" s="521"/>
      <c r="Y12" s="515"/>
    </row>
    <row r="13" spans="2:25" ht="114" customHeight="1">
      <c r="B13" s="131" t="s">
        <v>1816</v>
      </c>
      <c r="C13" s="161"/>
      <c r="D13" s="131" t="s">
        <v>1825</v>
      </c>
      <c r="E13" s="521"/>
      <c r="F13" s="131" t="s">
        <v>1819</v>
      </c>
      <c r="G13" s="521"/>
      <c r="H13" s="519" t="s">
        <v>129</v>
      </c>
      <c r="I13" s="520"/>
      <c r="J13" s="520" t="s">
        <v>129</v>
      </c>
      <c r="K13" s="520"/>
      <c r="L13" s="520" t="s">
        <v>129</v>
      </c>
      <c r="M13" s="521"/>
      <c r="N13" s="161" t="s">
        <v>142</v>
      </c>
      <c r="O13" s="131" t="s">
        <v>1804</v>
      </c>
      <c r="P13" s="521"/>
      <c r="Q13" s="161" t="s">
        <v>526</v>
      </c>
      <c r="R13" s="521"/>
      <c r="S13" s="131" t="s">
        <v>1826</v>
      </c>
      <c r="T13" s="521"/>
      <c r="U13" s="131" t="s">
        <v>1822</v>
      </c>
      <c r="V13" s="521"/>
      <c r="W13" s="131" t="s">
        <v>1804</v>
      </c>
      <c r="X13" s="521"/>
      <c r="Y13" s="515"/>
    </row>
    <row r="14" spans="2:25" ht="110.25">
      <c r="B14" s="131" t="s">
        <v>1816</v>
      </c>
      <c r="C14" s="161"/>
      <c r="D14" s="131" t="s">
        <v>1827</v>
      </c>
      <c r="E14" s="521"/>
      <c r="F14" s="131" t="s">
        <v>1407</v>
      </c>
      <c r="G14" s="521"/>
      <c r="H14" s="519" t="s">
        <v>129</v>
      </c>
      <c r="I14" s="520"/>
      <c r="J14" s="520" t="s">
        <v>129</v>
      </c>
      <c r="K14" s="520"/>
      <c r="L14" s="520" t="s">
        <v>129</v>
      </c>
      <c r="M14" s="521"/>
      <c r="N14" s="161" t="s">
        <v>192</v>
      </c>
      <c r="O14" s="131" t="s">
        <v>1804</v>
      </c>
      <c r="P14" s="521"/>
      <c r="Q14" s="161" t="s">
        <v>526</v>
      </c>
      <c r="R14" s="521"/>
      <c r="S14" s="131" t="s">
        <v>1828</v>
      </c>
      <c r="T14" s="521"/>
      <c r="U14" s="131" t="s">
        <v>1822</v>
      </c>
      <c r="V14" s="521"/>
      <c r="W14" s="131" t="s">
        <v>1804</v>
      </c>
      <c r="X14" s="521"/>
      <c r="Y14" s="515"/>
    </row>
    <row r="15" spans="2:25" ht="94.5">
      <c r="B15" s="131" t="s">
        <v>1816</v>
      </c>
      <c r="C15" s="518"/>
      <c r="D15" s="131" t="s">
        <v>1829</v>
      </c>
      <c r="E15" s="518"/>
      <c r="F15" s="518" t="s">
        <v>129</v>
      </c>
      <c r="G15" s="518"/>
      <c r="H15" s="519" t="s">
        <v>144</v>
      </c>
      <c r="I15" s="522"/>
      <c r="J15" s="522">
        <v>55</v>
      </c>
      <c r="K15" s="522"/>
      <c r="L15" s="522">
        <v>165</v>
      </c>
      <c r="M15" s="518"/>
      <c r="N15" s="161" t="s">
        <v>127</v>
      </c>
      <c r="O15" s="131" t="s">
        <v>1804</v>
      </c>
      <c r="P15" s="518"/>
      <c r="Q15" s="518" t="s">
        <v>526</v>
      </c>
      <c r="R15" s="518"/>
      <c r="S15" s="109" t="s">
        <v>1830</v>
      </c>
      <c r="T15" s="518"/>
      <c r="U15" s="109" t="s">
        <v>1831</v>
      </c>
      <c r="V15" s="518"/>
      <c r="W15" s="131" t="s">
        <v>1804</v>
      </c>
      <c r="X15" s="521"/>
      <c r="Y15" s="515"/>
    </row>
    <row r="16" spans="2:25" ht="141.75">
      <c r="B16" s="131" t="s">
        <v>1816</v>
      </c>
      <c r="C16" s="518"/>
      <c r="D16" s="131" t="s">
        <v>1832</v>
      </c>
      <c r="E16" s="518"/>
      <c r="F16" s="518" t="s">
        <v>129</v>
      </c>
      <c r="G16" s="518"/>
      <c r="H16" s="519" t="s">
        <v>144</v>
      </c>
      <c r="I16" s="522"/>
      <c r="J16" s="522">
        <v>58</v>
      </c>
      <c r="K16" s="522"/>
      <c r="L16" s="522">
        <v>132</v>
      </c>
      <c r="M16" s="518"/>
      <c r="N16" s="161" t="s">
        <v>142</v>
      </c>
      <c r="O16" s="131" t="s">
        <v>1804</v>
      </c>
      <c r="P16" s="518"/>
      <c r="Q16" s="518" t="s">
        <v>526</v>
      </c>
      <c r="R16" s="518"/>
      <c r="S16" s="109" t="s">
        <v>1830</v>
      </c>
      <c r="T16" s="518"/>
      <c r="U16" s="109" t="s">
        <v>1833</v>
      </c>
      <c r="V16" s="518"/>
      <c r="W16" s="131" t="s">
        <v>1804</v>
      </c>
      <c r="X16" s="521"/>
      <c r="Y16" s="515"/>
    </row>
    <row r="17" spans="1:25" ht="141.75">
      <c r="B17" s="131" t="s">
        <v>1816</v>
      </c>
      <c r="C17" s="518"/>
      <c r="D17" s="131" t="s">
        <v>1834</v>
      </c>
      <c r="E17" s="518"/>
      <c r="F17" s="518" t="s">
        <v>129</v>
      </c>
      <c r="G17" s="518"/>
      <c r="H17" s="519" t="s">
        <v>144</v>
      </c>
      <c r="I17" s="522"/>
      <c r="J17" s="522">
        <v>50</v>
      </c>
      <c r="K17" s="522"/>
      <c r="L17" s="522">
        <v>100</v>
      </c>
      <c r="M17" s="518"/>
      <c r="N17" s="161" t="s">
        <v>900</v>
      </c>
      <c r="O17" s="131" t="s">
        <v>1804</v>
      </c>
      <c r="P17" s="518"/>
      <c r="Q17" s="518" t="s">
        <v>526</v>
      </c>
      <c r="R17" s="518"/>
      <c r="S17" s="109" t="s">
        <v>1830</v>
      </c>
      <c r="T17" s="518"/>
      <c r="U17" s="109" t="s">
        <v>1835</v>
      </c>
      <c r="V17" s="518"/>
      <c r="W17" s="131" t="s">
        <v>1804</v>
      </c>
      <c r="X17" s="521"/>
      <c r="Y17" s="515"/>
    </row>
    <row r="18" spans="1:25" ht="141.75">
      <c r="B18" s="131" t="s">
        <v>1816</v>
      </c>
      <c r="C18" s="518"/>
      <c r="D18" s="131" t="s">
        <v>1836</v>
      </c>
      <c r="E18" s="518"/>
      <c r="F18" s="518" t="s">
        <v>129</v>
      </c>
      <c r="G18" s="518"/>
      <c r="H18" s="519" t="s">
        <v>144</v>
      </c>
      <c r="I18" s="522"/>
      <c r="J18" s="522">
        <v>25</v>
      </c>
      <c r="K18" s="522"/>
      <c r="L18" s="522">
        <v>50</v>
      </c>
      <c r="M18" s="518"/>
      <c r="N18" s="161" t="s">
        <v>171</v>
      </c>
      <c r="O18" s="131" t="s">
        <v>1804</v>
      </c>
      <c r="P18" s="518"/>
      <c r="Q18" s="518" t="s">
        <v>526</v>
      </c>
      <c r="R18" s="518"/>
      <c r="S18" s="109" t="s">
        <v>1830</v>
      </c>
      <c r="T18" s="518"/>
      <c r="U18" s="109" t="s">
        <v>1837</v>
      </c>
      <c r="V18" s="518"/>
      <c r="W18" s="131" t="s">
        <v>1804</v>
      </c>
      <c r="X18" s="518"/>
    </row>
    <row r="19" spans="1:25" ht="110.25">
      <c r="B19" s="131" t="s">
        <v>1816</v>
      </c>
      <c r="C19" s="518"/>
      <c r="D19" s="131" t="s">
        <v>1838</v>
      </c>
      <c r="E19" s="518"/>
      <c r="F19" s="518" t="s">
        <v>129</v>
      </c>
      <c r="G19" s="518"/>
      <c r="H19" s="519" t="s">
        <v>1803</v>
      </c>
      <c r="I19" s="522"/>
      <c r="J19" s="522">
        <v>115</v>
      </c>
      <c r="K19" s="522"/>
      <c r="L19" s="520">
        <v>277</v>
      </c>
      <c r="M19" s="518"/>
      <c r="N19" s="161" t="s">
        <v>900</v>
      </c>
      <c r="O19" s="131" t="s">
        <v>1804</v>
      </c>
      <c r="P19" s="518"/>
      <c r="Q19" s="518" t="s">
        <v>526</v>
      </c>
      <c r="R19" s="518"/>
      <c r="S19" s="109" t="s">
        <v>1839</v>
      </c>
      <c r="T19" s="518"/>
      <c r="U19" s="109" t="s">
        <v>1840</v>
      </c>
      <c r="V19" s="518"/>
      <c r="W19" s="131" t="s">
        <v>1804</v>
      </c>
      <c r="X19" s="518"/>
    </row>
    <row r="20" spans="1:25" s="146" customFormat="1" ht="94.5">
      <c r="B20" s="131" t="s">
        <v>1816</v>
      </c>
      <c r="C20" s="518"/>
      <c r="D20" s="131" t="s">
        <v>1841</v>
      </c>
      <c r="E20" s="518"/>
      <c r="F20" s="518" t="s">
        <v>129</v>
      </c>
      <c r="G20" s="518"/>
      <c r="H20" s="519" t="s">
        <v>1803</v>
      </c>
      <c r="I20" s="522"/>
      <c r="J20" s="522">
        <v>73</v>
      </c>
      <c r="K20" s="522"/>
      <c r="L20" s="520">
        <v>170</v>
      </c>
      <c r="M20" s="518"/>
      <c r="N20" s="161" t="s">
        <v>900</v>
      </c>
      <c r="O20" s="131" t="s">
        <v>1804</v>
      </c>
      <c r="P20" s="518"/>
      <c r="Q20" s="518" t="s">
        <v>526</v>
      </c>
      <c r="R20" s="518"/>
      <c r="S20" s="109" t="s">
        <v>1842</v>
      </c>
      <c r="T20" s="518"/>
      <c r="U20" s="109" t="s">
        <v>1843</v>
      </c>
      <c r="V20" s="518"/>
      <c r="W20" s="131" t="s">
        <v>1804</v>
      </c>
      <c r="X20" s="518"/>
      <c r="Y20"/>
    </row>
    <row r="21" spans="1:25" s="146" customFormat="1" ht="110.25">
      <c r="B21" s="131" t="s">
        <v>1816</v>
      </c>
      <c r="C21" s="518"/>
      <c r="D21" s="131" t="s">
        <v>1844</v>
      </c>
      <c r="E21" s="518"/>
      <c r="F21" s="518" t="s">
        <v>129</v>
      </c>
      <c r="G21" s="518"/>
      <c r="H21" s="519" t="s">
        <v>144</v>
      </c>
      <c r="I21" s="522"/>
      <c r="J21" s="522">
        <v>25</v>
      </c>
      <c r="K21" s="522"/>
      <c r="L21" s="520">
        <v>50</v>
      </c>
      <c r="M21" s="518"/>
      <c r="N21" s="161" t="s">
        <v>900</v>
      </c>
      <c r="O21" s="131" t="s">
        <v>1804</v>
      </c>
      <c r="P21" s="518"/>
      <c r="Q21" s="518" t="s">
        <v>526</v>
      </c>
      <c r="R21" s="518"/>
      <c r="S21" s="109" t="s">
        <v>1845</v>
      </c>
      <c r="T21" s="518"/>
      <c r="U21" s="109" t="s">
        <v>1840</v>
      </c>
      <c r="V21" s="518"/>
      <c r="W21" s="131" t="s">
        <v>1804</v>
      </c>
      <c r="X21" s="518"/>
      <c r="Y21"/>
    </row>
    <row r="22" spans="1:25" s="146" customFormat="1" ht="94.5">
      <c r="B22" s="131" t="s">
        <v>1816</v>
      </c>
      <c r="C22" s="518"/>
      <c r="D22" s="131" t="s">
        <v>1846</v>
      </c>
      <c r="E22" s="518"/>
      <c r="F22" s="518" t="s">
        <v>129</v>
      </c>
      <c r="G22" s="518"/>
      <c r="H22" s="519" t="s">
        <v>144</v>
      </c>
      <c r="I22" s="522"/>
      <c r="J22" s="522">
        <v>30</v>
      </c>
      <c r="K22" s="522"/>
      <c r="L22" s="520">
        <v>70</v>
      </c>
      <c r="M22" s="518"/>
      <c r="N22" s="161" t="s">
        <v>910</v>
      </c>
      <c r="O22" s="131" t="s">
        <v>1804</v>
      </c>
      <c r="P22" s="518"/>
      <c r="Q22" s="518" t="s">
        <v>526</v>
      </c>
      <c r="R22" s="518"/>
      <c r="S22" s="109" t="s">
        <v>1814</v>
      </c>
      <c r="T22" s="518"/>
      <c r="U22" s="109" t="s">
        <v>1812</v>
      </c>
      <c r="V22" s="518"/>
      <c r="W22" s="131" t="s">
        <v>1804</v>
      </c>
      <c r="X22" s="518"/>
      <c r="Y22"/>
    </row>
    <row r="23" spans="1:25" s="146" customFormat="1" ht="173.25">
      <c r="B23" s="131" t="s">
        <v>1847</v>
      </c>
      <c r="C23" s="518"/>
      <c r="D23" s="131" t="s">
        <v>1848</v>
      </c>
      <c r="E23" s="521"/>
      <c r="F23" s="131" t="s">
        <v>1407</v>
      </c>
      <c r="G23" s="521"/>
      <c r="H23" s="519" t="s">
        <v>129</v>
      </c>
      <c r="I23" s="520"/>
      <c r="J23" s="520" t="s">
        <v>129</v>
      </c>
      <c r="K23" s="520"/>
      <c r="L23" s="520" t="s">
        <v>129</v>
      </c>
      <c r="M23" s="521"/>
      <c r="N23" s="161" t="s">
        <v>142</v>
      </c>
      <c r="O23" s="131" t="s">
        <v>1804</v>
      </c>
      <c r="P23" s="521"/>
      <c r="Q23" s="161" t="s">
        <v>63</v>
      </c>
      <c r="R23" s="521"/>
      <c r="S23" s="131" t="s">
        <v>1849</v>
      </c>
      <c r="T23" s="161"/>
      <c r="U23" s="131" t="s">
        <v>1850</v>
      </c>
      <c r="V23" s="521"/>
      <c r="W23" s="131" t="s">
        <v>1804</v>
      </c>
      <c r="X23" s="521"/>
      <c r="Y23"/>
    </row>
    <row r="24" spans="1:25" s="146" customFormat="1" ht="94.5">
      <c r="B24" s="131" t="s">
        <v>1847</v>
      </c>
      <c r="C24" s="161"/>
      <c r="D24" s="131" t="s">
        <v>1851</v>
      </c>
      <c r="E24" s="161"/>
      <c r="F24" s="518" t="s">
        <v>129</v>
      </c>
      <c r="G24" s="518"/>
      <c r="H24" s="523" t="s">
        <v>144</v>
      </c>
      <c r="I24" s="520"/>
      <c r="J24" s="522">
        <v>80</v>
      </c>
      <c r="K24" s="520"/>
      <c r="L24" s="522">
        <v>180</v>
      </c>
      <c r="M24" s="161"/>
      <c r="N24" s="161" t="s">
        <v>171</v>
      </c>
      <c r="O24" s="131" t="s">
        <v>1804</v>
      </c>
      <c r="P24" s="161"/>
      <c r="Q24" s="161" t="s">
        <v>63</v>
      </c>
      <c r="R24" s="161"/>
      <c r="S24" s="109" t="s">
        <v>1830</v>
      </c>
      <c r="T24" s="161"/>
      <c r="U24" s="109" t="s">
        <v>1843</v>
      </c>
      <c r="V24" s="161"/>
      <c r="W24" s="131" t="s">
        <v>1804</v>
      </c>
      <c r="X24" s="161"/>
    </row>
    <row r="25" spans="1:25" ht="126">
      <c r="B25" s="131" t="s">
        <v>1852</v>
      </c>
      <c r="C25" s="161"/>
      <c r="D25" s="131" t="s">
        <v>1851</v>
      </c>
      <c r="E25" s="161"/>
      <c r="F25" s="518" t="s">
        <v>129</v>
      </c>
      <c r="G25" s="518"/>
      <c r="H25" s="519" t="s">
        <v>144</v>
      </c>
      <c r="I25" s="520"/>
      <c r="J25" s="522">
        <v>0</v>
      </c>
      <c r="K25" s="520"/>
      <c r="L25" s="522">
        <v>4</v>
      </c>
      <c r="M25" s="161"/>
      <c r="N25" s="161" t="s">
        <v>171</v>
      </c>
      <c r="O25" s="131" t="s">
        <v>1804</v>
      </c>
      <c r="P25" s="161"/>
      <c r="Q25" s="518" t="s">
        <v>526</v>
      </c>
      <c r="R25" s="161"/>
      <c r="S25" s="109" t="s">
        <v>1830</v>
      </c>
      <c r="T25" s="161"/>
      <c r="U25" s="109" t="s">
        <v>1853</v>
      </c>
      <c r="V25" s="161"/>
      <c r="W25" s="131" t="s">
        <v>1804</v>
      </c>
      <c r="X25" s="161"/>
      <c r="Y25" s="146"/>
    </row>
    <row r="26" spans="1:25" ht="110.25">
      <c r="B26" s="131" t="s">
        <v>1852</v>
      </c>
      <c r="C26" s="161"/>
      <c r="D26" s="131" t="s">
        <v>1854</v>
      </c>
      <c r="E26" s="161"/>
      <c r="F26" s="518" t="s">
        <v>129</v>
      </c>
      <c r="G26" s="518"/>
      <c r="H26" s="519" t="s">
        <v>1803</v>
      </c>
      <c r="I26" s="520"/>
      <c r="J26" s="522">
        <v>0</v>
      </c>
      <c r="K26" s="520"/>
      <c r="L26" s="520">
        <v>30</v>
      </c>
      <c r="M26" s="161"/>
      <c r="N26" s="161" t="s">
        <v>171</v>
      </c>
      <c r="O26" s="131" t="s">
        <v>1804</v>
      </c>
      <c r="P26" s="161"/>
      <c r="Q26" s="518" t="s">
        <v>526</v>
      </c>
      <c r="R26" s="161"/>
      <c r="S26" s="109" t="s">
        <v>1839</v>
      </c>
      <c r="T26" s="161"/>
      <c r="U26" s="109" t="s">
        <v>1840</v>
      </c>
      <c r="V26" s="161"/>
      <c r="W26" s="131" t="s">
        <v>1804</v>
      </c>
      <c r="X26" s="161"/>
      <c r="Y26" s="146"/>
    </row>
    <row r="27" spans="1:25" ht="126">
      <c r="B27" s="131" t="s">
        <v>1855</v>
      </c>
      <c r="C27" s="518"/>
      <c r="D27" s="131" t="s">
        <v>1851</v>
      </c>
      <c r="E27" s="518"/>
      <c r="F27" s="518" t="s">
        <v>129</v>
      </c>
      <c r="G27" s="518"/>
      <c r="H27" s="519" t="s">
        <v>144</v>
      </c>
      <c r="I27" s="522"/>
      <c r="J27" s="520">
        <v>43</v>
      </c>
      <c r="K27" s="520"/>
      <c r="L27" s="520">
        <v>53</v>
      </c>
      <c r="M27" s="161"/>
      <c r="N27" s="161" t="s">
        <v>537</v>
      </c>
      <c r="O27" s="131" t="s">
        <v>1804</v>
      </c>
      <c r="P27" s="518"/>
      <c r="Q27" s="518" t="s">
        <v>526</v>
      </c>
      <c r="R27" s="518"/>
      <c r="S27" s="109" t="s">
        <v>1830</v>
      </c>
      <c r="T27" s="518"/>
      <c r="U27" s="109" t="s">
        <v>1853</v>
      </c>
      <c r="V27" s="518"/>
      <c r="W27" s="131" t="s">
        <v>1804</v>
      </c>
      <c r="X27" s="518"/>
    </row>
    <row r="28" spans="1:25" ht="126">
      <c r="B28" s="131" t="s">
        <v>1856</v>
      </c>
      <c r="C28" s="518"/>
      <c r="D28" s="131" t="s">
        <v>1851</v>
      </c>
      <c r="E28" s="518"/>
      <c r="F28" s="518" t="s">
        <v>129</v>
      </c>
      <c r="G28" s="518"/>
      <c r="H28" s="519" t="s">
        <v>144</v>
      </c>
      <c r="I28" s="522"/>
      <c r="J28" s="520">
        <v>43</v>
      </c>
      <c r="K28" s="520"/>
      <c r="L28" s="520">
        <v>57</v>
      </c>
      <c r="M28" s="161"/>
      <c r="N28" s="161" t="s">
        <v>340</v>
      </c>
      <c r="O28" s="131" t="s">
        <v>1804</v>
      </c>
      <c r="P28" s="518"/>
      <c r="Q28" s="518" t="s">
        <v>526</v>
      </c>
      <c r="R28" s="518"/>
      <c r="S28" s="131" t="s">
        <v>1830</v>
      </c>
      <c r="T28" s="161"/>
      <c r="U28" s="131" t="s">
        <v>1857</v>
      </c>
      <c r="V28" s="518"/>
      <c r="W28" s="131" t="s">
        <v>1804</v>
      </c>
      <c r="X28" s="518"/>
    </row>
    <row r="29" spans="1:25" ht="299.25">
      <c r="A29" s="146"/>
      <c r="B29" s="131" t="s">
        <v>1858</v>
      </c>
      <c r="C29" s="161"/>
      <c r="D29" s="131" t="s">
        <v>1851</v>
      </c>
      <c r="E29" s="161"/>
      <c r="F29" s="161" t="s">
        <v>129</v>
      </c>
      <c r="G29" s="161"/>
      <c r="H29" s="519" t="s">
        <v>144</v>
      </c>
      <c r="I29" s="520"/>
      <c r="J29" s="520">
        <v>53</v>
      </c>
      <c r="K29" s="520"/>
      <c r="L29" s="520">
        <v>79</v>
      </c>
      <c r="M29" s="161"/>
      <c r="N29" s="161" t="s">
        <v>1859</v>
      </c>
      <c r="O29" s="131" t="s">
        <v>1804</v>
      </c>
      <c r="P29" s="161"/>
      <c r="Q29" s="161" t="s">
        <v>526</v>
      </c>
      <c r="R29" s="161"/>
      <c r="S29" s="131" t="s">
        <v>1860</v>
      </c>
      <c r="T29" s="161"/>
      <c r="U29" s="131" t="s">
        <v>1861</v>
      </c>
      <c r="V29" s="161"/>
      <c r="W29" s="131" t="s">
        <v>1804</v>
      </c>
      <c r="X29" s="518"/>
    </row>
  </sheetData>
  <mergeCells count="3">
    <mergeCell ref="B1:X1"/>
    <mergeCell ref="H2:M2"/>
    <mergeCell ref="B4:M4"/>
  </mergeCells>
  <conditionalFormatting sqref="F6:W6 F8:I9 M8:W9 F19:W28">
    <cfRule type="containsBlanks" dxfId="6" priority="3">
      <formula>LEN(TRIM(F6))=0</formula>
    </cfRule>
  </conditionalFormatting>
  <conditionalFormatting sqref="F7:W7">
    <cfRule type="containsBlanks" dxfId="5" priority="2">
      <formula>LEN(TRIM(F7))=0</formula>
    </cfRule>
  </conditionalFormatting>
  <conditionalFormatting sqref="F11:W14 I18:N18">
    <cfRule type="containsBlanks" dxfId="4" priority="7">
      <formula>LEN(TRIM(F11))=0</formula>
    </cfRule>
  </conditionalFormatting>
  <conditionalFormatting sqref="F15:W17">
    <cfRule type="containsBlanks" dxfId="3" priority="6">
      <formula>LEN(TRIM(F15))=0</formula>
    </cfRule>
  </conditionalFormatting>
  <conditionalFormatting sqref="F18:H18">
    <cfRule type="containsBlanks" dxfId="2" priority="5">
      <formula>LEN(TRIM(F18))=0</formula>
    </cfRule>
  </conditionalFormatting>
  <conditionalFormatting sqref="O18:W18">
    <cfRule type="containsBlanks" dxfId="1" priority="4">
      <formula>LEN(TRIM(O18))=0</formula>
    </cfRule>
  </conditionalFormatting>
  <conditionalFormatting sqref="F29:W29">
    <cfRule type="containsBlanks" dxfId="0" priority="1">
      <formula>LEN(TRIM(F29))=0</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06BE-9A25-4DB4-86CB-455F670459C6}">
  <dimension ref="B1:X744"/>
  <sheetViews>
    <sheetView showGridLines="0" zoomScaleNormal="100" workbookViewId="0">
      <pane ySplit="5" topLeftCell="A6" activePane="bottomLeft" state="frozen"/>
      <selection pane="bottomLeft" activeCell="B11" sqref="B11"/>
    </sheetView>
  </sheetViews>
  <sheetFormatPr defaultRowHeight="15"/>
  <cols>
    <col min="1" max="1" width="2.42578125" customWidth="1"/>
    <col min="2" max="2" width="89.42578125" bestFit="1" customWidth="1"/>
    <col min="3" max="3" width="20.5703125" bestFit="1" customWidth="1"/>
    <col min="4" max="4" width="60.28515625" bestFit="1" customWidth="1"/>
    <col min="5" max="5" width="21.5703125" bestFit="1" customWidth="1"/>
    <col min="6" max="6" width="15.28515625" bestFit="1" customWidth="1"/>
    <col min="7" max="7" width="40.5703125" bestFit="1" customWidth="1"/>
    <col min="8" max="8" width="16.28515625" bestFit="1" customWidth="1"/>
    <col min="9" max="9" width="17" bestFit="1" customWidth="1"/>
    <col min="10" max="10" width="12" bestFit="1" customWidth="1"/>
    <col min="11" max="11" width="9.42578125" bestFit="1" customWidth="1"/>
    <col min="12" max="12" width="4.42578125" bestFit="1" customWidth="1"/>
    <col min="13" max="13" width="6.28515625" bestFit="1" customWidth="1"/>
    <col min="14" max="14" width="14.85546875" bestFit="1" customWidth="1"/>
    <col min="15" max="15" width="8.7109375" bestFit="1" customWidth="1"/>
    <col min="17" max="17" width="10.85546875" bestFit="1" customWidth="1"/>
    <col min="18" max="18" width="15.5703125" bestFit="1" customWidth="1"/>
    <col min="19" max="19" width="14.85546875" bestFit="1" customWidth="1"/>
    <col min="20" max="20" width="16.5703125" bestFit="1" customWidth="1"/>
    <col min="23" max="24" width="8.85546875" bestFit="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79.5" thickBot="1">
      <c r="B3" s="86" t="s">
        <v>1</v>
      </c>
      <c r="C3" s="87" t="s">
        <v>2</v>
      </c>
      <c r="D3" s="86" t="s">
        <v>3</v>
      </c>
      <c r="E3" s="87" t="s">
        <v>4</v>
      </c>
      <c r="F3" s="88" t="s">
        <v>5</v>
      </c>
      <c r="G3" s="89" t="s">
        <v>6</v>
      </c>
      <c r="H3" s="617" t="s">
        <v>7</v>
      </c>
      <c r="I3" s="618"/>
      <c r="J3" s="618"/>
      <c r="K3" s="618"/>
      <c r="L3" s="618"/>
      <c r="M3" s="619"/>
      <c r="N3" s="86" t="s">
        <v>8</v>
      </c>
      <c r="O3" s="90" t="s">
        <v>9</v>
      </c>
      <c r="P3" s="91" t="s">
        <v>10</v>
      </c>
      <c r="Q3" s="90" t="s">
        <v>11</v>
      </c>
      <c r="R3" s="91" t="s">
        <v>12</v>
      </c>
      <c r="S3" s="90" t="s">
        <v>13</v>
      </c>
      <c r="T3" s="91" t="s">
        <v>14</v>
      </c>
      <c r="U3" s="90" t="s">
        <v>15</v>
      </c>
      <c r="V3" s="91" t="s">
        <v>16</v>
      </c>
      <c r="W3" s="92" t="s">
        <v>17</v>
      </c>
      <c r="X3" s="89" t="s">
        <v>18</v>
      </c>
    </row>
    <row r="4" spans="2:24" ht="16.5" thickBot="1">
      <c r="B4" s="93"/>
      <c r="C4" s="94"/>
      <c r="D4" s="95"/>
      <c r="E4" s="94"/>
      <c r="F4" s="94"/>
      <c r="G4" s="94"/>
      <c r="H4" s="96" t="s">
        <v>19</v>
      </c>
      <c r="I4" s="97" t="s">
        <v>20</v>
      </c>
      <c r="J4" s="96" t="s">
        <v>21</v>
      </c>
      <c r="K4" s="97" t="s">
        <v>22</v>
      </c>
      <c r="L4" s="96" t="s">
        <v>23</v>
      </c>
      <c r="M4" s="97" t="s">
        <v>24</v>
      </c>
      <c r="N4" s="98"/>
      <c r="O4" s="94"/>
      <c r="P4" s="94"/>
      <c r="Q4" s="94"/>
      <c r="R4" s="94"/>
      <c r="S4" s="94"/>
      <c r="T4" s="99"/>
      <c r="U4" s="94"/>
      <c r="V4" s="94"/>
      <c r="W4" s="94"/>
      <c r="X4" s="94"/>
    </row>
    <row r="5" spans="2:24" ht="15.75" customHeight="1">
      <c r="B5" s="688" t="s">
        <v>1862</v>
      </c>
      <c r="C5" s="689"/>
      <c r="D5" s="689"/>
      <c r="E5" s="689"/>
      <c r="F5" s="689"/>
      <c r="G5" s="689"/>
      <c r="H5" s="689"/>
      <c r="I5" s="689"/>
      <c r="J5" s="689"/>
      <c r="K5" s="689"/>
      <c r="L5" s="689"/>
      <c r="M5" s="690"/>
    </row>
    <row r="6" spans="2:24" s="528" customFormat="1" ht="15.75">
      <c r="B6" s="109" t="s">
        <v>1863</v>
      </c>
      <c r="C6" s="525"/>
      <c r="D6" s="517" t="s">
        <v>1864</v>
      </c>
      <c r="E6" s="525"/>
      <c r="F6" s="525"/>
      <c r="G6" s="525"/>
      <c r="H6" s="525"/>
      <c r="I6" s="525"/>
      <c r="J6" s="525"/>
      <c r="K6" s="525"/>
      <c r="L6" s="525"/>
      <c r="M6" s="526"/>
      <c r="N6" s="527" t="s">
        <v>1865</v>
      </c>
    </row>
    <row r="7" spans="2:24" s="528" customFormat="1" ht="15.75">
      <c r="B7" s="109" t="s">
        <v>1863</v>
      </c>
      <c r="C7" s="525"/>
      <c r="D7" s="517" t="s">
        <v>1866</v>
      </c>
      <c r="E7" s="525"/>
      <c r="F7" s="525"/>
      <c r="G7" s="525"/>
      <c r="H7" s="525"/>
      <c r="I7" s="525"/>
      <c r="J7" s="525"/>
      <c r="K7" s="525"/>
      <c r="L7" s="525"/>
      <c r="M7" s="526"/>
      <c r="N7" s="527" t="s">
        <v>1867</v>
      </c>
    </row>
    <row r="8" spans="2:24" s="528" customFormat="1" ht="15.75">
      <c r="B8" s="109" t="s">
        <v>1863</v>
      </c>
      <c r="C8" s="525"/>
      <c r="D8" s="517" t="s">
        <v>1868</v>
      </c>
      <c r="E8" s="525"/>
      <c r="F8" s="525"/>
      <c r="G8" s="525"/>
      <c r="H8" s="525"/>
      <c r="I8" s="525"/>
      <c r="J8" s="525"/>
      <c r="K8" s="525"/>
      <c r="L8" s="525"/>
      <c r="M8" s="526"/>
      <c r="N8" s="527" t="s">
        <v>1869</v>
      </c>
    </row>
    <row r="9" spans="2:24" s="528" customFormat="1" ht="15.75">
      <c r="B9" s="109" t="s">
        <v>1870</v>
      </c>
      <c r="C9" s="525"/>
      <c r="D9" s="517" t="s">
        <v>1864</v>
      </c>
      <c r="E9" s="525"/>
      <c r="F9" s="525"/>
      <c r="G9" s="525"/>
      <c r="H9" s="525"/>
      <c r="I9" s="525"/>
      <c r="J9" s="525"/>
      <c r="K9" s="525"/>
      <c r="L9" s="525"/>
      <c r="M9" s="526"/>
      <c r="N9" s="527" t="s">
        <v>1865</v>
      </c>
    </row>
    <row r="10" spans="2:24" s="528" customFormat="1" ht="15.75">
      <c r="B10" s="109" t="s">
        <v>1870</v>
      </c>
      <c r="C10" s="525"/>
      <c r="D10" s="517" t="s">
        <v>1866</v>
      </c>
      <c r="E10" s="525"/>
      <c r="F10" s="525"/>
      <c r="G10" s="525"/>
      <c r="H10" s="525"/>
      <c r="I10" s="525"/>
      <c r="J10" s="525"/>
      <c r="K10" s="525"/>
      <c r="L10" s="525"/>
      <c r="M10" s="526"/>
      <c r="N10" s="527" t="s">
        <v>1867</v>
      </c>
    </row>
    <row r="11" spans="2:24" s="528" customFormat="1" ht="15.75">
      <c r="B11" s="109" t="s">
        <v>1870</v>
      </c>
      <c r="C11" s="525"/>
      <c r="D11" s="517" t="s">
        <v>1868</v>
      </c>
      <c r="E11" s="525"/>
      <c r="F11" s="525"/>
      <c r="G11" s="525"/>
      <c r="H11" s="525"/>
      <c r="I11" s="525"/>
      <c r="J11" s="525"/>
      <c r="K11" s="525"/>
      <c r="L11" s="525"/>
      <c r="M11" s="526"/>
      <c r="N11" s="527" t="s">
        <v>1869</v>
      </c>
    </row>
    <row r="12" spans="2:24" s="528" customFormat="1" ht="15.75">
      <c r="B12" s="109" t="s">
        <v>1871</v>
      </c>
      <c r="C12" s="525"/>
      <c r="D12" s="517" t="s">
        <v>1872</v>
      </c>
      <c r="E12" s="525"/>
      <c r="F12" s="525"/>
      <c r="G12" s="525"/>
      <c r="H12" s="525"/>
      <c r="I12" s="525"/>
      <c r="J12" s="525"/>
      <c r="K12" s="525"/>
      <c r="L12" s="525"/>
      <c r="M12" s="526"/>
      <c r="N12" s="527" t="s">
        <v>1865</v>
      </c>
    </row>
    <row r="13" spans="2:24" ht="15.75">
      <c r="B13" s="109" t="s">
        <v>1871</v>
      </c>
      <c r="C13" s="106"/>
      <c r="D13" s="517" t="s">
        <v>1873</v>
      </c>
      <c r="E13" s="103"/>
      <c r="F13" s="103"/>
      <c r="G13" s="103"/>
      <c r="H13" s="106"/>
      <c r="I13" s="104"/>
      <c r="J13" s="104"/>
      <c r="K13" s="104"/>
      <c r="L13" s="104"/>
      <c r="M13" s="104"/>
      <c r="N13" s="527" t="s">
        <v>1869</v>
      </c>
      <c r="O13" s="106"/>
      <c r="P13" s="106"/>
      <c r="Q13" s="106"/>
      <c r="R13" s="106"/>
      <c r="S13" s="106"/>
      <c r="T13" s="106"/>
      <c r="U13" s="106"/>
      <c r="V13" s="106"/>
      <c r="W13" s="106"/>
      <c r="X13" s="106"/>
    </row>
    <row r="14" spans="2:24" ht="48" customHeight="1">
      <c r="B14" s="529"/>
      <c r="C14" s="106"/>
      <c r="E14" s="103"/>
      <c r="F14" s="103"/>
      <c r="G14" s="103"/>
      <c r="H14" s="106"/>
      <c r="I14" s="104"/>
      <c r="J14" s="104"/>
      <c r="K14" s="104"/>
      <c r="L14" s="104"/>
      <c r="M14" s="104"/>
      <c r="N14" s="26"/>
      <c r="O14" s="106"/>
      <c r="P14" s="106"/>
      <c r="Q14" s="106"/>
      <c r="R14" s="106"/>
      <c r="S14" s="106"/>
      <c r="T14" s="106"/>
      <c r="U14" s="106"/>
      <c r="V14" s="106"/>
      <c r="W14" s="106"/>
      <c r="X14" s="106"/>
    </row>
    <row r="15" spans="2:24" ht="48" customHeight="1">
      <c r="B15" s="529"/>
      <c r="C15" s="106"/>
      <c r="D15" s="131"/>
      <c r="E15" s="103"/>
      <c r="F15" s="103"/>
      <c r="G15" s="103"/>
      <c r="H15" s="106"/>
      <c r="I15" s="104"/>
      <c r="J15" s="104"/>
      <c r="K15" s="104"/>
      <c r="L15" s="104"/>
      <c r="M15" s="104"/>
      <c r="N15" s="26"/>
      <c r="O15" s="106"/>
      <c r="P15" s="106"/>
      <c r="Q15" s="106"/>
      <c r="R15" s="106"/>
      <c r="S15" s="106"/>
      <c r="T15" s="106"/>
      <c r="U15" s="106"/>
      <c r="V15" s="106"/>
      <c r="W15" s="106"/>
      <c r="X15" s="106"/>
    </row>
    <row r="16" spans="2:24" ht="48" customHeight="1">
      <c r="B16" s="529"/>
      <c r="C16" s="106"/>
      <c r="D16" s="131"/>
      <c r="E16" s="103"/>
      <c r="F16" s="103"/>
      <c r="G16" s="103"/>
      <c r="H16" s="106"/>
      <c r="I16" s="104"/>
      <c r="J16" s="104"/>
      <c r="K16" s="104"/>
      <c r="L16" s="104"/>
      <c r="M16" s="104"/>
      <c r="N16" s="26"/>
      <c r="O16" s="106"/>
      <c r="P16" s="106"/>
      <c r="Q16" s="106"/>
      <c r="R16" s="106"/>
      <c r="S16" s="106"/>
      <c r="T16" s="106"/>
      <c r="U16" s="106"/>
      <c r="V16" s="106"/>
      <c r="W16" s="106"/>
      <c r="X16" s="106"/>
    </row>
    <row r="17" spans="2:24" ht="48" customHeight="1">
      <c r="B17" s="529"/>
      <c r="C17" s="106"/>
      <c r="D17" s="131"/>
      <c r="E17" s="103"/>
      <c r="F17" s="103"/>
      <c r="G17" s="103"/>
      <c r="H17" s="106"/>
      <c r="I17" s="104"/>
      <c r="J17" s="104"/>
      <c r="K17" s="104"/>
      <c r="L17" s="104"/>
      <c r="M17" s="104"/>
      <c r="N17" s="26"/>
      <c r="O17" s="106"/>
      <c r="P17" s="106"/>
      <c r="Q17" s="106"/>
      <c r="R17" s="106"/>
      <c r="S17" s="106"/>
      <c r="T17" s="106"/>
      <c r="U17" s="106"/>
      <c r="V17" s="106"/>
      <c r="W17" s="106"/>
      <c r="X17" s="106"/>
    </row>
    <row r="18" spans="2:24" ht="61.5" customHeight="1">
      <c r="B18" s="529"/>
      <c r="C18" s="106"/>
      <c r="D18" s="530"/>
      <c r="E18" s="103"/>
      <c r="F18" s="103"/>
      <c r="G18" s="103"/>
      <c r="H18" s="106"/>
      <c r="I18" s="104"/>
      <c r="J18" s="104"/>
      <c r="K18" s="104"/>
      <c r="L18" s="104"/>
      <c r="M18" s="104"/>
      <c r="N18" s="26"/>
      <c r="O18" s="106"/>
      <c r="P18" s="106"/>
      <c r="Q18" s="106"/>
      <c r="R18" s="106"/>
      <c r="S18" s="106"/>
      <c r="T18" s="106"/>
      <c r="U18" s="106"/>
      <c r="V18" s="106"/>
      <c r="W18" s="106"/>
      <c r="X18" s="106"/>
    </row>
    <row r="19" spans="2:24" ht="61.5" customHeight="1">
      <c r="B19" s="529"/>
      <c r="C19" s="106"/>
      <c r="D19" s="530"/>
      <c r="E19" s="103"/>
      <c r="F19" s="103"/>
      <c r="G19" s="103"/>
      <c r="H19" s="106"/>
      <c r="I19" s="104"/>
      <c r="J19" s="104"/>
      <c r="K19" s="104"/>
      <c r="L19" s="104"/>
      <c r="M19" s="104"/>
      <c r="N19" s="26"/>
      <c r="O19" s="106"/>
      <c r="P19" s="106"/>
      <c r="Q19" s="106"/>
      <c r="R19" s="106"/>
      <c r="S19" s="106"/>
      <c r="T19" s="106"/>
      <c r="U19" s="106"/>
      <c r="V19" s="106"/>
      <c r="W19" s="106"/>
      <c r="X19" s="106"/>
    </row>
    <row r="20" spans="2:24" ht="61.5" customHeight="1">
      <c r="B20" s="529"/>
      <c r="C20" s="106"/>
      <c r="D20" s="530"/>
      <c r="E20" s="103"/>
      <c r="F20" s="103"/>
      <c r="G20" s="103"/>
      <c r="H20" s="106"/>
      <c r="I20" s="104"/>
      <c r="J20" s="104"/>
      <c r="K20" s="104"/>
      <c r="L20" s="104"/>
      <c r="M20" s="104"/>
      <c r="N20" s="26"/>
      <c r="O20" s="106"/>
      <c r="P20" s="106"/>
      <c r="Q20" s="106"/>
      <c r="R20" s="106"/>
      <c r="S20" s="106"/>
      <c r="T20" s="106"/>
      <c r="U20" s="106"/>
      <c r="V20" s="106"/>
      <c r="W20" s="106"/>
      <c r="X20" s="106"/>
    </row>
    <row r="21" spans="2:24" ht="61.5" customHeight="1">
      <c r="B21" s="529"/>
      <c r="C21" s="106"/>
      <c r="D21" s="530"/>
      <c r="E21" s="103"/>
      <c r="F21" s="103"/>
      <c r="G21" s="103"/>
      <c r="H21" s="106"/>
      <c r="I21" s="104"/>
      <c r="J21" s="104"/>
      <c r="K21" s="104"/>
      <c r="L21" s="104"/>
      <c r="M21" s="104"/>
      <c r="N21" s="26"/>
      <c r="O21" s="106"/>
      <c r="P21" s="106"/>
      <c r="Q21" s="106"/>
      <c r="R21" s="106"/>
      <c r="S21" s="106"/>
      <c r="T21" s="106"/>
      <c r="U21" s="106"/>
      <c r="V21" s="106"/>
      <c r="W21" s="106"/>
      <c r="X21" s="106"/>
    </row>
    <row r="22" spans="2:24" ht="61.5" customHeight="1">
      <c r="B22" s="529"/>
      <c r="C22" s="106"/>
      <c r="D22" s="530"/>
      <c r="E22" s="103"/>
      <c r="F22" s="103"/>
      <c r="G22" s="103"/>
      <c r="H22" s="106"/>
      <c r="I22" s="104"/>
      <c r="J22" s="104"/>
      <c r="K22" s="104"/>
      <c r="L22" s="104"/>
      <c r="M22" s="104"/>
      <c r="N22" s="26"/>
      <c r="O22" s="106"/>
      <c r="P22" s="106"/>
      <c r="Q22" s="106"/>
      <c r="R22" s="106"/>
      <c r="S22" s="106"/>
      <c r="T22" s="106"/>
      <c r="U22" s="106"/>
      <c r="V22" s="106"/>
      <c r="W22" s="106"/>
      <c r="X22" s="106"/>
    </row>
    <row r="23" spans="2:24" ht="61.5" customHeight="1">
      <c r="B23" s="529"/>
      <c r="C23" s="106"/>
      <c r="D23" s="530"/>
      <c r="E23" s="103"/>
      <c r="F23" s="103"/>
      <c r="G23" s="103"/>
      <c r="H23" s="106"/>
      <c r="I23" s="104"/>
      <c r="J23" s="104"/>
      <c r="K23" s="104"/>
      <c r="L23" s="104"/>
      <c r="M23" s="104"/>
      <c r="N23" s="26"/>
      <c r="O23" s="106"/>
      <c r="P23" s="106"/>
      <c r="Q23" s="106"/>
      <c r="R23" s="106"/>
      <c r="S23" s="106"/>
      <c r="T23" s="106"/>
      <c r="U23" s="106"/>
      <c r="V23" s="106"/>
      <c r="W23" s="106"/>
      <c r="X23" s="106"/>
    </row>
    <row r="24" spans="2:24" ht="61.5" customHeight="1">
      <c r="B24" s="529"/>
      <c r="C24" s="106"/>
      <c r="D24" s="531"/>
      <c r="E24" s="103"/>
      <c r="F24" s="103"/>
      <c r="G24" s="103"/>
      <c r="H24" s="106"/>
      <c r="I24" s="104"/>
      <c r="J24" s="104"/>
      <c r="K24" s="104"/>
      <c r="L24" s="104"/>
      <c r="M24" s="104"/>
      <c r="N24" s="26"/>
      <c r="O24" s="106"/>
      <c r="P24" s="106"/>
      <c r="Q24" s="106"/>
      <c r="R24" s="106"/>
      <c r="S24" s="106"/>
      <c r="T24" s="106"/>
      <c r="U24" s="106"/>
      <c r="V24" s="106"/>
      <c r="W24" s="106"/>
      <c r="X24" s="106"/>
    </row>
    <row r="25" spans="2:24" ht="61.5" customHeight="1">
      <c r="B25" s="529"/>
      <c r="C25" s="106"/>
      <c r="D25" s="530"/>
      <c r="E25" s="103"/>
      <c r="F25" s="103"/>
      <c r="G25" s="103"/>
      <c r="H25" s="106"/>
      <c r="I25" s="104"/>
      <c r="J25" s="104"/>
      <c r="K25" s="104"/>
      <c r="L25" s="104"/>
      <c r="M25" s="104"/>
      <c r="N25" s="26" t="s">
        <v>171</v>
      </c>
      <c r="O25" s="106"/>
      <c r="P25" s="106"/>
      <c r="Q25" s="106"/>
      <c r="R25" s="106"/>
      <c r="S25" s="106"/>
      <c r="T25" s="106"/>
      <c r="U25" s="106"/>
      <c r="V25" s="106"/>
      <c r="W25" s="106"/>
      <c r="X25" s="106"/>
    </row>
    <row r="26" spans="2:24" ht="61.5" customHeight="1">
      <c r="B26" s="529"/>
      <c r="C26" s="106"/>
      <c r="D26" s="26"/>
      <c r="E26" s="103"/>
      <c r="F26" s="103"/>
      <c r="G26" s="103"/>
      <c r="H26" s="106"/>
      <c r="I26" s="104"/>
      <c r="J26" s="104"/>
      <c r="K26" s="104"/>
      <c r="L26" s="104"/>
      <c r="M26" s="104"/>
      <c r="N26" s="26" t="s">
        <v>1874</v>
      </c>
      <c r="O26" s="106"/>
      <c r="P26" s="106"/>
      <c r="Q26" s="106"/>
      <c r="R26" s="106"/>
      <c r="S26" s="106"/>
      <c r="T26" s="106"/>
      <c r="U26" s="106"/>
      <c r="V26" s="106"/>
      <c r="W26" s="106"/>
      <c r="X26" s="106"/>
    </row>
    <row r="27" spans="2:24" ht="61.5" customHeight="1">
      <c r="B27" s="529"/>
      <c r="C27" s="106"/>
      <c r="D27" s="26"/>
      <c r="E27" s="103"/>
      <c r="F27" s="103"/>
      <c r="G27" s="103"/>
      <c r="H27" s="106"/>
      <c r="I27" s="104"/>
      <c r="J27" s="104"/>
      <c r="K27" s="104"/>
      <c r="L27" s="104"/>
      <c r="M27" s="104"/>
      <c r="N27" s="26" t="s">
        <v>432</v>
      </c>
      <c r="O27" s="106"/>
      <c r="P27" s="106"/>
      <c r="Q27" s="106"/>
      <c r="R27" s="106"/>
      <c r="S27" s="106"/>
      <c r="T27" s="106"/>
      <c r="U27" s="106"/>
      <c r="V27" s="106"/>
      <c r="W27" s="106"/>
      <c r="X27" s="106"/>
    </row>
    <row r="28" spans="2:24" ht="61.5" customHeight="1">
      <c r="B28" s="529"/>
      <c r="C28" s="106"/>
      <c r="D28" s="26"/>
      <c r="E28" s="103"/>
      <c r="F28" s="103"/>
      <c r="G28" s="103"/>
      <c r="H28" s="106"/>
      <c r="I28" s="104"/>
      <c r="J28" s="104"/>
      <c r="K28" s="104"/>
      <c r="L28" s="104"/>
      <c r="M28" s="104"/>
      <c r="N28" s="26" t="s">
        <v>127</v>
      </c>
      <c r="O28" s="106"/>
      <c r="P28" s="106"/>
      <c r="Q28" s="106"/>
      <c r="R28" s="106"/>
      <c r="S28" s="106"/>
      <c r="T28" s="106"/>
      <c r="U28" s="106"/>
      <c r="V28" s="106"/>
      <c r="W28" s="106"/>
      <c r="X28" s="106"/>
    </row>
    <row r="29" spans="2:24" ht="61.5" customHeight="1">
      <c r="B29" s="529"/>
      <c r="C29" s="106"/>
      <c r="D29" s="530"/>
      <c r="E29" s="103"/>
      <c r="F29" s="103"/>
      <c r="G29" s="103"/>
      <c r="H29" s="106"/>
      <c r="I29" s="104"/>
      <c r="J29" s="104"/>
      <c r="K29" s="104"/>
      <c r="L29" s="104"/>
      <c r="M29" s="104"/>
      <c r="N29" s="26" t="s">
        <v>537</v>
      </c>
      <c r="O29" s="106"/>
      <c r="P29" s="106"/>
      <c r="Q29" s="106"/>
      <c r="R29" s="106"/>
      <c r="S29" s="106"/>
      <c r="T29" s="106"/>
      <c r="U29" s="106"/>
      <c r="V29" s="106"/>
      <c r="W29" s="106"/>
      <c r="X29" s="106"/>
    </row>
    <row r="30" spans="2:24" ht="61.5" customHeight="1">
      <c r="B30" s="529"/>
      <c r="C30" s="106"/>
      <c r="D30" s="532"/>
      <c r="E30" s="103"/>
      <c r="F30" s="103"/>
      <c r="G30" s="103"/>
      <c r="H30" s="106"/>
      <c r="I30" s="104"/>
      <c r="J30" s="104"/>
      <c r="K30" s="104"/>
      <c r="L30" s="104"/>
      <c r="M30" s="104"/>
      <c r="N30" s="26" t="s">
        <v>192</v>
      </c>
      <c r="O30" s="106"/>
      <c r="P30" s="106"/>
      <c r="Q30" s="106"/>
      <c r="R30" s="106"/>
      <c r="S30" s="106"/>
      <c r="T30" s="106"/>
      <c r="U30" s="106"/>
      <c r="V30" s="106"/>
      <c r="W30" s="106"/>
      <c r="X30" s="106"/>
    </row>
    <row r="31" spans="2:24" ht="61.5" customHeight="1">
      <c r="B31" s="529"/>
      <c r="C31" s="106"/>
      <c r="D31" s="530"/>
      <c r="E31" s="103"/>
      <c r="F31" s="103"/>
      <c r="G31" s="103"/>
      <c r="H31" s="106"/>
      <c r="I31" s="104"/>
      <c r="J31" s="104"/>
      <c r="K31" s="104"/>
      <c r="L31" s="104"/>
      <c r="M31" s="104"/>
      <c r="N31" s="26" t="s">
        <v>900</v>
      </c>
      <c r="O31" s="106"/>
      <c r="P31" s="106"/>
      <c r="Q31" s="106"/>
      <c r="R31" s="106"/>
      <c r="S31" s="106"/>
      <c r="T31" s="106"/>
      <c r="U31" s="106"/>
      <c r="V31" s="106"/>
      <c r="W31" s="106"/>
      <c r="X31" s="106"/>
    </row>
    <row r="32" spans="2:24" ht="61.5" customHeight="1">
      <c r="B32" s="529"/>
      <c r="C32" s="106"/>
      <c r="D32" s="532"/>
      <c r="E32" s="103"/>
      <c r="F32" s="103"/>
      <c r="G32" s="103"/>
      <c r="H32" s="106"/>
      <c r="I32" s="104"/>
      <c r="J32" s="104"/>
      <c r="K32" s="104"/>
      <c r="L32" s="104"/>
      <c r="M32" s="104"/>
      <c r="N32" s="26" t="s">
        <v>545</v>
      </c>
      <c r="O32" s="106"/>
      <c r="P32" s="106"/>
      <c r="Q32" s="106"/>
      <c r="R32" s="106"/>
      <c r="S32" s="106"/>
      <c r="T32" s="106"/>
      <c r="U32" s="106"/>
      <c r="V32" s="106"/>
      <c r="W32" s="106"/>
      <c r="X32" s="106"/>
    </row>
    <row r="33" spans="2:24" ht="61.5" customHeight="1">
      <c r="B33" s="529"/>
      <c r="C33" s="106"/>
      <c r="D33" s="530"/>
      <c r="E33" s="103"/>
      <c r="F33" s="103"/>
      <c r="G33" s="103"/>
      <c r="H33" s="106"/>
      <c r="I33" s="104"/>
      <c r="J33" s="104"/>
      <c r="K33" s="104"/>
      <c r="L33" s="104"/>
      <c r="M33" s="104"/>
      <c r="N33" s="26" t="s">
        <v>312</v>
      </c>
      <c r="O33" s="106"/>
      <c r="P33" s="106"/>
      <c r="Q33" s="106"/>
      <c r="R33" s="106"/>
      <c r="S33" s="106"/>
      <c r="T33" s="106"/>
      <c r="U33" s="106"/>
      <c r="V33" s="106"/>
      <c r="W33" s="106"/>
      <c r="X33" s="106"/>
    </row>
    <row r="34" spans="2:24" ht="61.5" customHeight="1">
      <c r="B34" s="26"/>
      <c r="C34" s="106"/>
      <c r="D34" s="26"/>
      <c r="E34" s="103"/>
      <c r="F34" s="103"/>
      <c r="G34" s="103"/>
      <c r="H34" s="106"/>
      <c r="I34" s="104"/>
      <c r="J34" s="104"/>
      <c r="K34" s="104"/>
      <c r="L34" s="104"/>
      <c r="M34" s="104"/>
      <c r="N34" s="26" t="s">
        <v>432</v>
      </c>
      <c r="O34" s="106"/>
      <c r="P34" s="106"/>
      <c r="Q34" s="106"/>
      <c r="R34" s="106"/>
      <c r="S34" s="106"/>
      <c r="T34" s="106"/>
      <c r="U34" s="106"/>
      <c r="V34" s="106"/>
      <c r="W34" s="106"/>
      <c r="X34" s="106"/>
    </row>
    <row r="35" spans="2:24" ht="61.5" customHeight="1">
      <c r="B35" s="26"/>
      <c r="C35" s="106"/>
      <c r="D35" s="26"/>
      <c r="E35" s="103"/>
      <c r="F35" s="103"/>
      <c r="G35" s="103"/>
      <c r="H35" s="106"/>
      <c r="I35" s="104"/>
      <c r="J35" s="104"/>
      <c r="K35" s="104"/>
      <c r="L35" s="104"/>
      <c r="M35" s="104"/>
      <c r="N35" s="26" t="s">
        <v>127</v>
      </c>
      <c r="O35" s="106"/>
      <c r="P35" s="106"/>
      <c r="Q35" s="106"/>
      <c r="R35" s="106"/>
      <c r="S35" s="106"/>
      <c r="T35" s="106"/>
      <c r="U35" s="106"/>
      <c r="V35" s="106"/>
      <c r="W35" s="106"/>
      <c r="X35" s="106"/>
    </row>
    <row r="36" spans="2:24" ht="61.5" customHeight="1">
      <c r="B36" s="26"/>
      <c r="C36" s="106"/>
      <c r="D36" s="26"/>
      <c r="E36" s="103"/>
      <c r="F36" s="103"/>
      <c r="G36" s="103"/>
      <c r="H36" s="106"/>
      <c r="I36" s="104"/>
      <c r="J36" s="104"/>
      <c r="K36" s="104"/>
      <c r="L36" s="104"/>
      <c r="M36" s="104"/>
      <c r="N36" s="26" t="s">
        <v>537</v>
      </c>
      <c r="O36" s="106"/>
      <c r="P36" s="106"/>
      <c r="Q36" s="106"/>
      <c r="R36" s="106"/>
      <c r="S36" s="106"/>
      <c r="T36" s="106"/>
      <c r="U36" s="106"/>
      <c r="V36" s="106"/>
      <c r="W36" s="106"/>
      <c r="X36" s="106"/>
    </row>
    <row r="37" spans="2:24" ht="61.5" customHeight="1">
      <c r="B37" s="26"/>
      <c r="C37" s="106"/>
      <c r="D37" s="26"/>
      <c r="E37" s="103"/>
      <c r="F37" s="103"/>
      <c r="G37" s="103"/>
      <c r="H37" s="106"/>
      <c r="I37" s="104"/>
      <c r="J37" s="104"/>
      <c r="K37" s="104"/>
      <c r="L37" s="104"/>
      <c r="M37" s="104"/>
      <c r="N37" s="26" t="s">
        <v>192</v>
      </c>
      <c r="O37" s="106"/>
      <c r="P37" s="106"/>
      <c r="Q37" s="106"/>
      <c r="R37" s="106"/>
      <c r="S37" s="106"/>
      <c r="T37" s="106"/>
      <c r="U37" s="106"/>
      <c r="V37" s="106"/>
      <c r="W37" s="106"/>
      <c r="X37" s="106"/>
    </row>
    <row r="38" spans="2:24" ht="61.5" customHeight="1">
      <c r="B38" s="26"/>
      <c r="C38" s="106"/>
      <c r="D38" s="26"/>
      <c r="E38" s="103"/>
      <c r="F38" s="103"/>
      <c r="G38" s="103"/>
      <c r="H38" s="106"/>
      <c r="I38" s="104"/>
      <c r="J38" s="104"/>
      <c r="K38" s="104"/>
      <c r="L38" s="104"/>
      <c r="M38" s="104"/>
      <c r="N38" s="26" t="s">
        <v>142</v>
      </c>
      <c r="O38" s="106"/>
      <c r="P38" s="106"/>
      <c r="Q38" s="106"/>
      <c r="R38" s="106"/>
      <c r="S38" s="106"/>
      <c r="T38" s="106"/>
      <c r="U38" s="106"/>
      <c r="V38" s="106"/>
      <c r="W38" s="106"/>
      <c r="X38" s="106"/>
    </row>
    <row r="39" spans="2:24" ht="61.5" customHeight="1">
      <c r="B39" s="26"/>
      <c r="C39" s="106"/>
      <c r="D39" s="26"/>
      <c r="E39" s="103"/>
      <c r="F39" s="103"/>
      <c r="G39" s="103"/>
      <c r="H39" s="106"/>
      <c r="I39" s="104"/>
      <c r="J39" s="104"/>
      <c r="K39" s="104"/>
      <c r="L39" s="104"/>
      <c r="M39" s="104"/>
      <c r="N39" s="26" t="s">
        <v>171</v>
      </c>
      <c r="O39" s="106"/>
      <c r="P39" s="106"/>
      <c r="Q39" s="106"/>
      <c r="R39" s="106"/>
      <c r="S39" s="106"/>
      <c r="T39" s="106"/>
      <c r="U39" s="106"/>
      <c r="V39" s="106"/>
      <c r="W39" s="106"/>
      <c r="X39" s="106"/>
    </row>
    <row r="40" spans="2:24" ht="61.5" customHeight="1">
      <c r="B40" s="26"/>
      <c r="C40" s="106"/>
      <c r="D40" s="26"/>
      <c r="E40" s="103"/>
      <c r="F40" s="103"/>
      <c r="G40" s="103"/>
      <c r="H40" s="106"/>
      <c r="I40" s="104"/>
      <c r="J40" s="104"/>
      <c r="K40" s="104"/>
      <c r="L40" s="104"/>
      <c r="M40" s="104"/>
      <c r="N40" s="26" t="s">
        <v>900</v>
      </c>
      <c r="O40" s="106"/>
      <c r="P40" s="106"/>
      <c r="Q40" s="106"/>
      <c r="R40" s="106"/>
      <c r="S40" s="106"/>
      <c r="T40" s="106"/>
      <c r="U40" s="106"/>
      <c r="V40" s="106"/>
      <c r="W40" s="106"/>
      <c r="X40" s="106"/>
    </row>
    <row r="41" spans="2:24" ht="61.5" customHeight="1">
      <c r="B41" s="26"/>
      <c r="C41" s="106"/>
      <c r="D41" s="26"/>
      <c r="E41" s="103"/>
      <c r="F41" s="103"/>
      <c r="G41" s="103"/>
      <c r="H41" s="106"/>
      <c r="I41" s="104"/>
      <c r="J41" s="104"/>
      <c r="K41" s="104"/>
      <c r="L41" s="104"/>
      <c r="M41" s="104"/>
      <c r="N41" s="26" t="s">
        <v>900</v>
      </c>
      <c r="O41" s="106"/>
      <c r="P41" s="106"/>
      <c r="Q41" s="106"/>
      <c r="R41" s="106"/>
      <c r="S41" s="106"/>
      <c r="T41" s="106"/>
      <c r="U41" s="106"/>
      <c r="V41" s="106"/>
      <c r="W41" s="106"/>
      <c r="X41" s="106"/>
    </row>
    <row r="42" spans="2:24" ht="61.5" customHeight="1">
      <c r="B42" s="26"/>
      <c r="C42" s="106"/>
      <c r="D42" s="26"/>
      <c r="E42" s="103"/>
      <c r="F42" s="103"/>
      <c r="G42" s="103"/>
      <c r="H42" s="106"/>
      <c r="I42" s="104"/>
      <c r="J42" s="104"/>
      <c r="K42" s="104"/>
      <c r="L42" s="104"/>
      <c r="M42" s="104"/>
      <c r="N42" s="26" t="s">
        <v>312</v>
      </c>
      <c r="O42" s="106"/>
      <c r="P42" s="106"/>
      <c r="Q42" s="106"/>
      <c r="R42" s="106"/>
      <c r="S42" s="106"/>
      <c r="T42" s="106"/>
      <c r="U42" s="106"/>
      <c r="V42" s="106"/>
      <c r="W42" s="106"/>
      <c r="X42" s="106"/>
    </row>
    <row r="43" spans="2:24" ht="61.5" customHeight="1">
      <c r="B43" s="26"/>
      <c r="C43" s="106"/>
      <c r="D43" s="26"/>
      <c r="E43" s="103"/>
      <c r="F43" s="103"/>
      <c r="G43" s="103"/>
      <c r="H43" s="106"/>
      <c r="I43" s="104"/>
      <c r="J43" s="104"/>
      <c r="K43" s="104"/>
      <c r="L43" s="104"/>
      <c r="M43" s="104"/>
      <c r="N43" s="26" t="s">
        <v>1874</v>
      </c>
      <c r="O43" s="106"/>
      <c r="P43" s="106"/>
      <c r="Q43" s="106"/>
      <c r="R43" s="106"/>
      <c r="S43" s="106"/>
      <c r="T43" s="106"/>
      <c r="U43" s="106"/>
      <c r="V43" s="106"/>
      <c r="W43" s="106"/>
      <c r="X43" s="106"/>
    </row>
    <row r="44" spans="2:24" ht="61.5" customHeight="1">
      <c r="B44" s="26"/>
      <c r="C44" s="106"/>
      <c r="D44" s="26"/>
      <c r="E44" s="103"/>
      <c r="F44" s="103"/>
      <c r="G44" s="103"/>
      <c r="H44" s="106"/>
      <c r="I44" s="104"/>
      <c r="J44" s="104"/>
      <c r="K44" s="104"/>
      <c r="L44" s="104"/>
      <c r="M44" s="104"/>
      <c r="N44" s="26" t="s">
        <v>1874</v>
      </c>
      <c r="O44" s="106"/>
      <c r="P44" s="106"/>
      <c r="Q44" s="106"/>
      <c r="R44" s="106"/>
      <c r="S44" s="106"/>
      <c r="T44" s="106"/>
      <c r="U44" s="106"/>
      <c r="V44" s="106"/>
      <c r="W44" s="106"/>
      <c r="X44" s="106"/>
    </row>
    <row r="45" spans="2:24" ht="61.5" customHeight="1">
      <c r="B45" s="26"/>
      <c r="C45" s="106"/>
      <c r="D45" s="26"/>
      <c r="E45" s="103"/>
      <c r="F45" s="103"/>
      <c r="G45" s="103"/>
      <c r="H45" s="106"/>
      <c r="I45" s="104"/>
      <c r="J45" s="104"/>
      <c r="K45" s="104"/>
      <c r="L45" s="104"/>
      <c r="M45" s="104"/>
      <c r="N45" s="26" t="s">
        <v>127</v>
      </c>
      <c r="O45" s="106"/>
      <c r="P45" s="106"/>
      <c r="Q45" s="106"/>
      <c r="R45" s="106"/>
      <c r="S45" s="106"/>
      <c r="T45" s="106"/>
      <c r="U45" s="106"/>
      <c r="V45" s="106"/>
      <c r="W45" s="106"/>
      <c r="X45" s="106"/>
    </row>
    <row r="46" spans="2:24" ht="61.5" customHeight="1">
      <c r="B46" s="26"/>
      <c r="C46" s="106"/>
      <c r="D46" s="26"/>
      <c r="E46" s="103"/>
      <c r="F46" s="103"/>
      <c r="G46" s="103"/>
      <c r="H46" s="106"/>
      <c r="I46" s="104"/>
      <c r="J46" s="104"/>
      <c r="K46" s="104"/>
      <c r="L46" s="104"/>
      <c r="M46" s="104"/>
      <c r="N46" s="26" t="s">
        <v>153</v>
      </c>
      <c r="O46" s="106"/>
      <c r="P46" s="106"/>
      <c r="Q46" s="106"/>
      <c r="R46" s="106"/>
      <c r="S46" s="106"/>
      <c r="T46" s="106"/>
      <c r="U46" s="106"/>
      <c r="V46" s="106"/>
      <c r="W46" s="106"/>
      <c r="X46" s="106"/>
    </row>
    <row r="47" spans="2:24" ht="61.5" customHeight="1">
      <c r="B47" s="26"/>
      <c r="C47" s="106"/>
      <c r="D47" s="26"/>
      <c r="E47" s="103"/>
      <c r="F47" s="103"/>
      <c r="G47" s="103"/>
      <c r="H47" s="106"/>
      <c r="I47" s="104"/>
      <c r="J47" s="104"/>
      <c r="K47" s="104"/>
      <c r="L47" s="104"/>
      <c r="M47" s="104"/>
      <c r="N47" s="26" t="s">
        <v>171</v>
      </c>
      <c r="O47" s="106"/>
      <c r="P47" s="106"/>
      <c r="Q47" s="106"/>
      <c r="R47" s="106"/>
      <c r="S47" s="106"/>
      <c r="T47" s="106"/>
      <c r="U47" s="106"/>
      <c r="V47" s="106"/>
      <c r="W47" s="106"/>
      <c r="X47" s="106"/>
    </row>
    <row r="48" spans="2:24" ht="61.5" customHeight="1">
      <c r="B48" s="26"/>
      <c r="C48" s="106"/>
      <c r="D48" s="26"/>
      <c r="E48" s="103"/>
      <c r="F48" s="103"/>
      <c r="G48" s="103"/>
      <c r="H48" s="106"/>
      <c r="I48" s="104"/>
      <c r="J48" s="104"/>
      <c r="K48" s="104"/>
      <c r="L48" s="104"/>
      <c r="M48" s="104"/>
      <c r="N48" s="26" t="s">
        <v>1874</v>
      </c>
      <c r="O48" s="106"/>
      <c r="P48" s="106"/>
      <c r="Q48" s="106"/>
      <c r="R48" s="106"/>
      <c r="S48" s="106"/>
      <c r="T48" s="106"/>
      <c r="U48" s="106"/>
      <c r="V48" s="106"/>
      <c r="W48" s="106"/>
      <c r="X48" s="106"/>
    </row>
    <row r="228" ht="57.95" customHeight="1"/>
    <row r="282" ht="81.95" customHeight="1"/>
    <row r="317" ht="53.45" customHeight="1"/>
    <row r="318" ht="50.45" customHeight="1"/>
    <row r="329" ht="42.6" customHeight="1"/>
    <row r="330" ht="48.95" customHeight="1"/>
    <row r="331" ht="51.6" customHeight="1"/>
    <row r="332" ht="48.95" customHeight="1"/>
    <row r="346" ht="60.6" customHeight="1"/>
    <row r="730" ht="101.45" customHeight="1"/>
    <row r="731" ht="89.45" customHeight="1"/>
    <row r="732" ht="96.95" customHeight="1"/>
    <row r="733" ht="45.95" customHeight="1"/>
    <row r="734" ht="75" customHeight="1"/>
    <row r="735" ht="363.6" customHeight="1"/>
    <row r="736" ht="70.5" customHeight="1"/>
    <row r="737" ht="68.099999999999994" customHeight="1"/>
    <row r="738" ht="188.1" customHeight="1"/>
    <row r="739" ht="405.75" customHeight="1"/>
    <row r="740" ht="134.44999999999999" customHeight="1"/>
    <row r="741" ht="167.1" customHeight="1"/>
    <row r="742" ht="51" customHeight="1"/>
    <row r="743" ht="60.6" customHeight="1"/>
    <row r="744" ht="108" customHeight="1"/>
  </sheetData>
  <mergeCells count="3">
    <mergeCell ref="B2:X2"/>
    <mergeCell ref="H3:M3"/>
    <mergeCell ref="B5:M5"/>
  </mergeCells>
  <pageMargins left="0.7" right="0.7" top="0.75" bottom="0.75" header="0.3" footer="0.3"/>
  <pageSetup paperSize="9" orientation="portrait"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9A88-04E8-4422-A2A2-731CD30862A4}">
  <dimension ref="B1:X739"/>
  <sheetViews>
    <sheetView showGridLines="0" zoomScale="90" zoomScaleNormal="90" workbookViewId="0">
      <pane ySplit="4" topLeftCell="A5" activePane="bottomLeft" state="frozen"/>
      <selection pane="bottomLeft" activeCell="B15" sqref="B15"/>
    </sheetView>
  </sheetViews>
  <sheetFormatPr defaultRowHeight="15"/>
  <cols>
    <col min="1" max="1" width="2.42578125" customWidth="1"/>
    <col min="2" max="2" width="74.7109375" bestFit="1" customWidth="1"/>
    <col min="3" max="3" width="37" customWidth="1"/>
    <col min="4" max="4" width="58.5703125" customWidth="1"/>
    <col min="5" max="5" width="21.85546875" bestFit="1" customWidth="1"/>
    <col min="6" max="6" width="15.28515625" bestFit="1" customWidth="1"/>
    <col min="7" max="7" width="42.7109375" bestFit="1" customWidth="1"/>
    <col min="8" max="8" width="16.5703125" bestFit="1" customWidth="1"/>
    <col min="9" max="9" width="18.28515625" bestFit="1" customWidth="1"/>
    <col min="10" max="10" width="13" bestFit="1" customWidth="1"/>
    <col min="11" max="11" width="10.140625" bestFit="1" customWidth="1"/>
    <col min="12" max="12" width="4.7109375" bestFit="1" customWidth="1"/>
    <col min="13" max="13" width="6.5703125" bestFit="1" customWidth="1"/>
    <col min="14" max="14" width="15.140625" bestFit="1" customWidth="1"/>
    <col min="15" max="15" width="8.42578125" bestFit="1" customWidth="1"/>
    <col min="17" max="17" width="12" bestFit="1" customWidth="1"/>
    <col min="18" max="18" width="16.5703125" bestFit="1" customWidth="1"/>
    <col min="19" max="19" width="15.5703125" bestFit="1" customWidth="1"/>
    <col min="20" max="20" width="17.28515625" bestFit="1" customWidth="1"/>
    <col min="21" max="21" width="9" bestFit="1" customWidth="1"/>
    <col min="22" max="22" width="8.7109375" bestFit="1" customWidth="1"/>
    <col min="23" max="23" width="9" bestFit="1" customWidth="1"/>
    <col min="24" max="24" width="8.85546875" bestFit="1" customWidth="1"/>
  </cols>
  <sheetData>
    <row r="1" spans="2:24" ht="15.75" thickBot="1"/>
    <row r="2" spans="2:24" ht="16.5" thickBot="1">
      <c r="B2" s="614" t="s">
        <v>0</v>
      </c>
      <c r="C2" s="615"/>
      <c r="D2" s="615"/>
      <c r="E2" s="615"/>
      <c r="F2" s="615"/>
      <c r="G2" s="615"/>
      <c r="H2" s="615"/>
      <c r="I2" s="615"/>
      <c r="J2" s="615"/>
      <c r="K2" s="615"/>
      <c r="L2" s="615"/>
      <c r="M2" s="615"/>
      <c r="N2" s="615"/>
      <c r="O2" s="615"/>
      <c r="P2" s="615"/>
      <c r="Q2" s="615"/>
      <c r="R2" s="615"/>
      <c r="S2" s="615"/>
      <c r="T2" s="615"/>
      <c r="U2" s="615"/>
      <c r="V2" s="615"/>
      <c r="W2" s="615"/>
      <c r="X2" s="616"/>
    </row>
    <row r="3" spans="2:24" ht="88.5" customHeight="1" thickBot="1">
      <c r="B3" s="86" t="s">
        <v>1</v>
      </c>
      <c r="C3" s="87" t="s">
        <v>2</v>
      </c>
      <c r="D3" s="90" t="s">
        <v>3</v>
      </c>
      <c r="E3" s="87" t="s">
        <v>4</v>
      </c>
      <c r="F3" s="88" t="s">
        <v>5</v>
      </c>
      <c r="G3" s="89" t="s">
        <v>6</v>
      </c>
      <c r="H3" s="617" t="s">
        <v>7</v>
      </c>
      <c r="I3" s="618"/>
      <c r="J3" s="618"/>
      <c r="K3" s="618"/>
      <c r="L3" s="618"/>
      <c r="M3" s="619"/>
      <c r="N3" s="90" t="s">
        <v>8</v>
      </c>
      <c r="O3" s="90" t="s">
        <v>9</v>
      </c>
      <c r="P3" s="91" t="s">
        <v>10</v>
      </c>
      <c r="Q3" s="90" t="s">
        <v>11</v>
      </c>
      <c r="R3" s="91" t="s">
        <v>12</v>
      </c>
      <c r="S3" s="90" t="s">
        <v>13</v>
      </c>
      <c r="T3" s="91" t="s">
        <v>14</v>
      </c>
      <c r="U3" s="90" t="s">
        <v>15</v>
      </c>
      <c r="V3" s="91" t="s">
        <v>16</v>
      </c>
      <c r="W3" s="92" t="s">
        <v>17</v>
      </c>
      <c r="X3" s="89" t="s">
        <v>18</v>
      </c>
    </row>
    <row r="4" spans="2:24" ht="29.25" customHeight="1" thickBot="1">
      <c r="B4" s="93"/>
      <c r="C4" s="94"/>
      <c r="D4" s="94"/>
      <c r="E4" s="94"/>
      <c r="F4" s="94"/>
      <c r="G4" s="94"/>
      <c r="H4" s="96" t="s">
        <v>19</v>
      </c>
      <c r="I4" s="97" t="s">
        <v>20</v>
      </c>
      <c r="J4" s="96" t="s">
        <v>21</v>
      </c>
      <c r="K4" s="97" t="s">
        <v>22</v>
      </c>
      <c r="L4" s="96" t="s">
        <v>23</v>
      </c>
      <c r="M4" s="97" t="s">
        <v>24</v>
      </c>
      <c r="N4" s="96"/>
      <c r="O4" s="94"/>
      <c r="P4" s="94"/>
      <c r="Q4" s="94"/>
      <c r="R4" s="94"/>
      <c r="S4" s="94"/>
      <c r="T4" s="99"/>
      <c r="U4" s="94"/>
      <c r="V4" s="94"/>
      <c r="W4" s="94"/>
      <c r="X4" s="94"/>
    </row>
    <row r="5" spans="2:24" ht="15.75">
      <c r="B5" s="691" t="s">
        <v>1875</v>
      </c>
      <c r="C5" s="692"/>
      <c r="D5" s="692"/>
      <c r="E5" s="692"/>
      <c r="F5" s="692"/>
      <c r="G5" s="692"/>
      <c r="H5" s="692"/>
      <c r="I5" s="692"/>
      <c r="J5" s="692"/>
      <c r="K5" s="692"/>
      <c r="L5" s="692"/>
      <c r="M5" s="693"/>
    </row>
    <row r="6" spans="2:24" s="146" customFormat="1" ht="15.75">
      <c r="B6" s="131" t="s">
        <v>1876</v>
      </c>
      <c r="C6" s="144"/>
      <c r="D6" s="517" t="s">
        <v>1866</v>
      </c>
      <c r="E6" s="144"/>
      <c r="F6" s="144"/>
      <c r="G6" s="144"/>
      <c r="H6" s="144"/>
      <c r="I6" s="144"/>
      <c r="J6" s="144"/>
      <c r="K6" s="144"/>
      <c r="L6" s="144"/>
      <c r="M6" s="144"/>
      <c r="N6" s="533" t="s">
        <v>1867</v>
      </c>
      <c r="O6" s="143"/>
      <c r="P6" s="143"/>
      <c r="Q6" s="143"/>
      <c r="R6" s="143"/>
      <c r="S6" s="143"/>
      <c r="T6" s="143"/>
      <c r="U6" s="143"/>
      <c r="V6" s="143"/>
      <c r="W6" s="143"/>
      <c r="X6" s="143"/>
    </row>
    <row r="7" spans="2:24" s="146" customFormat="1" ht="15.75">
      <c r="B7" s="131" t="s">
        <v>1876</v>
      </c>
      <c r="C7" s="144"/>
      <c r="D7" s="517" t="s">
        <v>1868</v>
      </c>
      <c r="E7" s="144"/>
      <c r="F7" s="144"/>
      <c r="G7" s="144"/>
      <c r="H7" s="144"/>
      <c r="I7" s="144"/>
      <c r="J7" s="144"/>
      <c r="K7" s="144"/>
      <c r="L7" s="144"/>
      <c r="M7" s="144"/>
      <c r="N7" s="533" t="s">
        <v>1869</v>
      </c>
      <c r="O7" s="143"/>
      <c r="P7" s="143"/>
      <c r="Q7" s="143"/>
      <c r="R7" s="143"/>
      <c r="S7" s="143"/>
      <c r="T7" s="143"/>
      <c r="U7" s="143"/>
      <c r="V7" s="143"/>
      <c r="W7" s="143"/>
      <c r="X7" s="143"/>
    </row>
    <row r="8" spans="2:24" s="146" customFormat="1" ht="15.75">
      <c r="B8" s="131" t="s">
        <v>1877</v>
      </c>
      <c r="C8" s="144"/>
      <c r="D8" s="144" t="s">
        <v>1878</v>
      </c>
      <c r="E8" s="144"/>
      <c r="F8" s="144"/>
      <c r="G8" s="144"/>
      <c r="H8" s="144"/>
      <c r="I8" s="144"/>
      <c r="J8" s="144"/>
      <c r="K8" s="144"/>
      <c r="L8" s="144"/>
      <c r="M8" s="144"/>
      <c r="N8" s="533" t="s">
        <v>1869</v>
      </c>
      <c r="O8" s="143"/>
      <c r="P8" s="143"/>
      <c r="Q8" s="143"/>
      <c r="R8" s="143"/>
      <c r="S8" s="143"/>
      <c r="T8" s="143"/>
      <c r="U8" s="143"/>
      <c r="V8" s="143"/>
      <c r="W8" s="143"/>
      <c r="X8" s="143"/>
    </row>
    <row r="9" spans="2:24" s="146" customFormat="1" ht="15.75">
      <c r="B9" s="131" t="s">
        <v>1879</v>
      </c>
      <c r="C9" s="144"/>
      <c r="D9" s="144" t="s">
        <v>1872</v>
      </c>
      <c r="E9" s="144"/>
      <c r="F9" s="144"/>
      <c r="G9" s="144"/>
      <c r="H9" s="144"/>
      <c r="I9" s="144"/>
      <c r="J9" s="144"/>
      <c r="K9" s="144"/>
      <c r="L9" s="144"/>
      <c r="M9" s="144"/>
      <c r="N9" s="533" t="s">
        <v>1880</v>
      </c>
      <c r="O9" s="143"/>
      <c r="P9" s="143"/>
      <c r="Q9" s="143"/>
      <c r="R9" s="143"/>
      <c r="S9" s="143"/>
      <c r="T9" s="143"/>
      <c r="U9" s="143"/>
      <c r="V9" s="143"/>
      <c r="W9" s="143"/>
      <c r="X9" s="143"/>
    </row>
    <row r="10" spans="2:24" s="146" customFormat="1" ht="15.75">
      <c r="B10" s="131" t="s">
        <v>1879</v>
      </c>
      <c r="C10" s="144"/>
      <c r="D10" s="144" t="s">
        <v>1881</v>
      </c>
      <c r="E10" s="144"/>
      <c r="F10" s="144"/>
      <c r="G10" s="144"/>
      <c r="H10" s="144"/>
      <c r="I10" s="144"/>
      <c r="J10" s="144"/>
      <c r="K10" s="144"/>
      <c r="L10" s="144"/>
      <c r="M10" s="144"/>
      <c r="N10" s="533" t="s">
        <v>1882</v>
      </c>
      <c r="O10" s="143"/>
      <c r="P10" s="143"/>
      <c r="Q10" s="143"/>
      <c r="R10" s="143"/>
      <c r="S10" s="143"/>
      <c r="T10" s="143"/>
      <c r="U10" s="143"/>
      <c r="V10" s="143"/>
      <c r="W10" s="143"/>
      <c r="X10" s="143"/>
    </row>
    <row r="11" spans="2:24" s="146" customFormat="1" ht="15.75">
      <c r="B11" s="131" t="s">
        <v>1883</v>
      </c>
      <c r="C11" s="144"/>
      <c r="D11" s="517" t="s">
        <v>1866</v>
      </c>
      <c r="E11" s="144"/>
      <c r="F11" s="144"/>
      <c r="G11" s="144"/>
      <c r="H11" s="144"/>
      <c r="I11" s="144"/>
      <c r="J11" s="144"/>
      <c r="K11" s="144"/>
      <c r="L11" s="144"/>
      <c r="M11" s="144"/>
      <c r="N11" s="533" t="s">
        <v>1884</v>
      </c>
      <c r="O11" s="143"/>
      <c r="P11" s="143"/>
      <c r="Q11" s="143"/>
      <c r="R11" s="143"/>
      <c r="S11" s="143"/>
      <c r="T11" s="143"/>
      <c r="U11" s="143"/>
      <c r="V11" s="143"/>
      <c r="W11" s="143"/>
      <c r="X11" s="143"/>
    </row>
    <row r="12" spans="2:24" s="146" customFormat="1" ht="15.75">
      <c r="B12" s="131" t="s">
        <v>1883</v>
      </c>
      <c r="C12" s="144"/>
      <c r="D12" s="517" t="s">
        <v>1868</v>
      </c>
      <c r="E12" s="144"/>
      <c r="F12" s="144"/>
      <c r="G12" s="144"/>
      <c r="H12" s="144"/>
      <c r="I12" s="144"/>
      <c r="J12" s="144"/>
      <c r="K12" s="144"/>
      <c r="L12" s="144"/>
      <c r="M12" s="144"/>
      <c r="N12" s="533" t="s">
        <v>1867</v>
      </c>
      <c r="O12" s="143"/>
      <c r="P12" s="143"/>
      <c r="Q12" s="143"/>
      <c r="R12" s="143"/>
      <c r="S12" s="143"/>
      <c r="T12" s="143"/>
      <c r="U12" s="143"/>
      <c r="V12" s="143"/>
      <c r="W12" s="143"/>
      <c r="X12" s="143"/>
    </row>
    <row r="13" spans="2:24" ht="15.75">
      <c r="B13" s="131"/>
      <c r="C13" s="103"/>
      <c r="D13" s="144"/>
      <c r="E13" s="103"/>
      <c r="F13" s="103"/>
      <c r="G13" s="103"/>
      <c r="H13" s="103"/>
      <c r="I13" s="104"/>
      <c r="J13" s="104"/>
      <c r="K13" s="104"/>
      <c r="L13" s="104"/>
      <c r="M13" s="104"/>
      <c r="N13" s="106"/>
      <c r="O13" s="106"/>
      <c r="P13" s="106"/>
      <c r="Q13" s="106"/>
      <c r="R13" s="106"/>
      <c r="S13" s="106"/>
      <c r="T13" s="106"/>
      <c r="U13" s="106"/>
      <c r="V13" s="106"/>
      <c r="W13" s="106"/>
      <c r="X13" s="106"/>
    </row>
    <row r="14" spans="2:24" ht="15.75">
      <c r="B14" s="131"/>
      <c r="C14" s="103"/>
      <c r="D14" s="144"/>
      <c r="E14" s="103"/>
      <c r="F14" s="103"/>
      <c r="G14" s="103"/>
      <c r="H14" s="103"/>
      <c r="I14" s="106"/>
      <c r="J14" s="106"/>
      <c r="K14" s="106"/>
      <c r="L14" s="106"/>
      <c r="M14" s="106"/>
      <c r="N14" s="106"/>
      <c r="O14" s="106"/>
      <c r="P14" s="106"/>
      <c r="Q14" s="106"/>
      <c r="R14" s="106"/>
      <c r="S14" s="106"/>
      <c r="T14" s="106"/>
      <c r="U14" s="106"/>
      <c r="V14" s="106"/>
      <c r="W14" s="106"/>
      <c r="X14" s="106"/>
    </row>
    <row r="15" spans="2:24" ht="15.75">
      <c r="B15" s="131"/>
      <c r="C15" s="106"/>
      <c r="D15" s="144"/>
      <c r="E15" s="106"/>
      <c r="F15" s="106"/>
      <c r="G15" s="106"/>
      <c r="H15" s="106"/>
      <c r="I15" s="106"/>
      <c r="J15" s="106"/>
      <c r="K15" s="106"/>
      <c r="L15" s="106"/>
      <c r="M15" s="106"/>
      <c r="N15" s="106"/>
      <c r="O15" s="106"/>
      <c r="P15" s="106"/>
      <c r="Q15" s="106"/>
      <c r="R15" s="106"/>
      <c r="S15" s="106"/>
      <c r="T15" s="106"/>
      <c r="U15" s="106"/>
      <c r="V15" s="106"/>
      <c r="W15" s="106"/>
      <c r="X15" s="106"/>
    </row>
    <row r="16" spans="2:24" ht="15.75">
      <c r="B16" s="131"/>
      <c r="C16" s="106"/>
      <c r="D16" s="144"/>
      <c r="E16" s="106"/>
      <c r="F16" s="106"/>
      <c r="G16" s="106"/>
      <c r="H16" s="106"/>
      <c r="I16" s="106"/>
      <c r="J16" s="106"/>
      <c r="K16" s="106"/>
      <c r="L16" s="106"/>
      <c r="M16" s="106"/>
      <c r="N16" s="106"/>
      <c r="O16" s="106"/>
      <c r="P16" s="106"/>
      <c r="Q16" s="106"/>
      <c r="R16" s="106"/>
      <c r="S16" s="106"/>
      <c r="T16" s="106"/>
      <c r="U16" s="106"/>
      <c r="V16" s="106"/>
      <c r="W16" s="106"/>
      <c r="X16" s="106"/>
    </row>
    <row r="17" spans="2:24" ht="15.75">
      <c r="B17" s="131"/>
      <c r="C17" s="106"/>
      <c r="D17" s="144"/>
      <c r="E17" s="106"/>
      <c r="F17" s="106"/>
      <c r="G17" s="106"/>
      <c r="H17" s="106"/>
      <c r="I17" s="106"/>
      <c r="J17" s="106"/>
      <c r="K17" s="106"/>
      <c r="L17" s="106"/>
      <c r="M17" s="106"/>
      <c r="N17" s="106"/>
      <c r="O17" s="106"/>
      <c r="P17" s="106"/>
      <c r="Q17" s="106"/>
      <c r="R17" s="106"/>
      <c r="S17" s="106"/>
      <c r="T17" s="106"/>
      <c r="U17" s="106"/>
      <c r="V17" s="106"/>
      <c r="W17" s="106"/>
      <c r="X17" s="106"/>
    </row>
    <row r="18" spans="2:24" ht="15.75">
      <c r="B18" s="131"/>
      <c r="C18" s="106"/>
      <c r="D18" s="144"/>
      <c r="E18" s="106"/>
      <c r="F18" s="106"/>
      <c r="G18" s="106"/>
      <c r="H18" s="106"/>
      <c r="I18" s="106"/>
      <c r="J18" s="106"/>
      <c r="K18" s="106"/>
      <c r="L18" s="106"/>
      <c r="M18" s="106"/>
      <c r="N18" s="106"/>
      <c r="O18" s="106"/>
      <c r="P18" s="106"/>
      <c r="Q18" s="106"/>
      <c r="R18" s="106"/>
      <c r="S18" s="106"/>
      <c r="T18" s="106"/>
      <c r="U18" s="106"/>
      <c r="V18" s="106"/>
      <c r="W18" s="106"/>
      <c r="X18" s="106"/>
    </row>
    <row r="19" spans="2:24" ht="15.75">
      <c r="B19" s="131"/>
      <c r="C19" s="106"/>
      <c r="D19" s="144"/>
      <c r="E19" s="106"/>
      <c r="F19" s="106"/>
      <c r="G19" s="106"/>
      <c r="H19" s="106"/>
      <c r="I19" s="106"/>
      <c r="J19" s="106"/>
      <c r="K19" s="106"/>
      <c r="L19" s="106"/>
      <c r="M19" s="106"/>
      <c r="N19" s="106"/>
      <c r="O19" s="106"/>
      <c r="P19" s="106"/>
      <c r="Q19" s="106"/>
      <c r="R19" s="106"/>
      <c r="S19" s="106"/>
      <c r="T19" s="106"/>
      <c r="U19" s="106"/>
      <c r="V19" s="106"/>
      <c r="W19" s="106"/>
      <c r="X19" s="106"/>
    </row>
    <row r="20" spans="2:24" ht="15.75">
      <c r="B20" s="131"/>
      <c r="C20" s="106"/>
      <c r="D20" s="144"/>
      <c r="E20" s="106"/>
      <c r="F20" s="106"/>
      <c r="G20" s="106"/>
      <c r="H20" s="106"/>
      <c r="I20" s="106"/>
      <c r="J20" s="106"/>
      <c r="K20" s="106"/>
      <c r="L20" s="106"/>
      <c r="M20" s="106"/>
      <c r="N20" s="106"/>
      <c r="O20" s="106"/>
      <c r="P20" s="106"/>
      <c r="Q20" s="106"/>
      <c r="R20" s="106"/>
      <c r="S20" s="106"/>
      <c r="T20" s="106"/>
      <c r="U20" s="106"/>
      <c r="V20" s="106"/>
      <c r="W20" s="106"/>
      <c r="X20" s="106"/>
    </row>
    <row r="21" spans="2:24" ht="15.75">
      <c r="B21" s="131"/>
      <c r="C21" s="106"/>
      <c r="D21" s="144"/>
      <c r="E21" s="106"/>
      <c r="F21" s="106"/>
      <c r="G21" s="106"/>
      <c r="H21" s="106"/>
      <c r="I21" s="106"/>
      <c r="J21" s="106"/>
      <c r="K21" s="106"/>
      <c r="L21" s="106"/>
      <c r="M21" s="106"/>
      <c r="N21" s="106"/>
      <c r="O21" s="106"/>
      <c r="P21" s="106"/>
      <c r="Q21" s="106"/>
      <c r="R21" s="106"/>
      <c r="S21" s="106"/>
      <c r="T21" s="106"/>
      <c r="U21" s="106"/>
      <c r="V21" s="106"/>
      <c r="W21" s="106"/>
      <c r="X21" s="106"/>
    </row>
    <row r="22" spans="2:24" ht="15.75">
      <c r="B22" s="131"/>
      <c r="C22" s="106"/>
      <c r="D22" s="144"/>
      <c r="E22" s="106"/>
      <c r="F22" s="106"/>
      <c r="G22" s="106"/>
      <c r="H22" s="106"/>
      <c r="I22" s="106"/>
      <c r="J22" s="106"/>
      <c r="K22" s="106"/>
      <c r="L22" s="106"/>
      <c r="M22" s="106"/>
      <c r="N22" s="106"/>
      <c r="O22" s="106"/>
      <c r="P22" s="106"/>
      <c r="Q22" s="106"/>
      <c r="R22" s="106"/>
      <c r="S22" s="106"/>
      <c r="T22" s="106"/>
      <c r="U22" s="106"/>
      <c r="V22" s="106"/>
      <c r="W22" s="106"/>
      <c r="X22" s="106"/>
    </row>
    <row r="23" spans="2:24" ht="15.75">
      <c r="B23" s="131"/>
      <c r="C23" s="106"/>
      <c r="D23" s="144"/>
      <c r="E23" s="106"/>
      <c r="F23" s="106"/>
      <c r="G23" s="106"/>
      <c r="H23" s="106"/>
      <c r="I23" s="106"/>
      <c r="J23" s="106"/>
      <c r="K23" s="106"/>
      <c r="L23" s="106"/>
      <c r="M23" s="106"/>
      <c r="N23" s="106"/>
      <c r="O23" s="106"/>
      <c r="P23" s="106"/>
      <c r="Q23" s="106"/>
      <c r="R23" s="106"/>
      <c r="S23" s="106"/>
      <c r="T23" s="106"/>
      <c r="U23" s="106"/>
      <c r="V23" s="106"/>
      <c r="W23" s="106"/>
      <c r="X23" s="106"/>
    </row>
    <row r="24" spans="2:24" ht="15.75">
      <c r="B24" s="131"/>
      <c r="C24" s="106"/>
      <c r="D24" s="144"/>
      <c r="E24" s="106"/>
      <c r="F24" s="106"/>
      <c r="G24" s="106"/>
      <c r="H24" s="106"/>
      <c r="I24" s="106"/>
      <c r="J24" s="106"/>
      <c r="K24" s="106"/>
      <c r="L24" s="106"/>
      <c r="M24" s="106"/>
      <c r="N24" s="106"/>
      <c r="O24" s="106"/>
      <c r="P24" s="106"/>
      <c r="Q24" s="106"/>
      <c r="R24" s="106"/>
      <c r="S24" s="106"/>
      <c r="T24" s="106"/>
      <c r="U24" s="106"/>
      <c r="V24" s="106"/>
      <c r="W24" s="106"/>
      <c r="X24" s="106"/>
    </row>
    <row r="25" spans="2:24" ht="15.75">
      <c r="B25" s="131"/>
      <c r="C25" s="106"/>
      <c r="D25" s="144"/>
      <c r="E25" s="106"/>
      <c r="F25" s="106"/>
      <c r="G25" s="106"/>
      <c r="H25" s="106"/>
      <c r="I25" s="106"/>
      <c r="J25" s="106"/>
      <c r="K25" s="106"/>
      <c r="L25" s="106"/>
      <c r="M25" s="106"/>
      <c r="N25" s="106"/>
      <c r="O25" s="106"/>
      <c r="P25" s="106"/>
      <c r="Q25" s="106"/>
      <c r="R25" s="106"/>
      <c r="S25" s="106"/>
      <c r="T25" s="106"/>
      <c r="U25" s="106"/>
      <c r="V25" s="106"/>
      <c r="W25" s="106"/>
      <c r="X25" s="106"/>
    </row>
    <row r="26" spans="2:24" ht="15.75">
      <c r="B26" s="131"/>
      <c r="C26" s="106"/>
      <c r="D26" s="144"/>
      <c r="E26" s="106"/>
      <c r="F26" s="106"/>
      <c r="G26" s="106"/>
      <c r="H26" s="106"/>
      <c r="I26" s="106"/>
      <c r="J26" s="106"/>
      <c r="K26" s="106"/>
      <c r="L26" s="106"/>
      <c r="M26" s="106"/>
      <c r="N26" s="106"/>
      <c r="O26" s="106"/>
      <c r="P26" s="106"/>
      <c r="Q26" s="106"/>
      <c r="R26" s="106"/>
      <c r="S26" s="106"/>
      <c r="T26" s="106"/>
      <c r="U26" s="106"/>
      <c r="V26" s="106"/>
      <c r="W26" s="106"/>
      <c r="X26" s="106"/>
    </row>
    <row r="27" spans="2:24" ht="15.75">
      <c r="B27" s="131"/>
      <c r="C27" s="106"/>
      <c r="D27" s="144"/>
      <c r="E27" s="106"/>
      <c r="F27" s="106"/>
      <c r="G27" s="106"/>
      <c r="H27" s="106"/>
      <c r="I27" s="106"/>
      <c r="J27" s="106"/>
      <c r="K27" s="106"/>
      <c r="L27" s="106"/>
      <c r="M27" s="106"/>
      <c r="N27" s="106"/>
      <c r="O27" s="106"/>
      <c r="P27" s="106"/>
      <c r="Q27" s="106"/>
      <c r="R27" s="106"/>
      <c r="S27" s="106"/>
      <c r="T27" s="106"/>
      <c r="U27" s="106"/>
      <c r="V27" s="106"/>
      <c r="W27" s="106"/>
      <c r="X27" s="106"/>
    </row>
    <row r="28" spans="2:24" ht="15.75">
      <c r="B28" s="131"/>
      <c r="C28" s="106"/>
      <c r="D28" s="144"/>
      <c r="E28" s="106"/>
      <c r="F28" s="106"/>
      <c r="G28" s="106"/>
      <c r="H28" s="106"/>
      <c r="I28" s="106"/>
      <c r="J28" s="106"/>
      <c r="K28" s="106"/>
      <c r="L28" s="106"/>
      <c r="M28" s="106"/>
      <c r="N28" s="106"/>
      <c r="O28" s="106"/>
      <c r="P28" s="106"/>
      <c r="Q28" s="106"/>
      <c r="R28" s="106"/>
      <c r="S28" s="106"/>
      <c r="T28" s="106"/>
      <c r="U28" s="106"/>
      <c r="V28" s="106"/>
      <c r="W28" s="106"/>
      <c r="X28" s="106"/>
    </row>
    <row r="29" spans="2:24" ht="15.75">
      <c r="B29" s="131"/>
      <c r="C29" s="106"/>
      <c r="D29" s="144"/>
      <c r="E29" s="106"/>
      <c r="F29" s="106"/>
      <c r="G29" s="106"/>
      <c r="H29" s="106"/>
      <c r="I29" s="106"/>
      <c r="J29" s="106"/>
      <c r="K29" s="106"/>
      <c r="L29" s="106"/>
      <c r="M29" s="106"/>
      <c r="N29" s="106"/>
      <c r="O29" s="106"/>
      <c r="P29" s="106"/>
      <c r="Q29" s="106"/>
      <c r="R29" s="106"/>
      <c r="S29" s="106"/>
      <c r="T29" s="106"/>
      <c r="U29" s="106"/>
      <c r="V29" s="106"/>
      <c r="W29" s="106"/>
      <c r="X29" s="106"/>
    </row>
    <row r="223" ht="57.95" customHeight="1"/>
    <row r="277" ht="81.95" customHeight="1"/>
    <row r="312" ht="53.45" customHeight="1"/>
    <row r="313" ht="50.45" customHeight="1"/>
    <row r="324" ht="42.6" customHeight="1"/>
    <row r="325" ht="48.95" customHeight="1"/>
    <row r="326" ht="51.6" customHeight="1"/>
    <row r="327" ht="48.95" customHeight="1"/>
    <row r="341" ht="60.6" customHeight="1"/>
    <row r="725" ht="101.45" customHeight="1"/>
    <row r="726" ht="89.45" customHeight="1"/>
    <row r="727" ht="96.95" customHeight="1"/>
    <row r="728" ht="45.95" customHeight="1"/>
    <row r="729" ht="75" customHeight="1"/>
    <row r="730" ht="363.6" customHeight="1"/>
    <row r="731" ht="70.5" customHeight="1"/>
    <row r="732" ht="68.099999999999994" customHeight="1"/>
    <row r="733" ht="188.1" customHeight="1"/>
    <row r="734" ht="405.75" customHeight="1"/>
    <row r="735" ht="134.44999999999999" customHeight="1"/>
    <row r="736" ht="167.1" customHeight="1"/>
    <row r="737" ht="51" customHeight="1"/>
    <row r="738" ht="60.6" customHeight="1"/>
    <row r="739" ht="108" customHeight="1"/>
  </sheetData>
  <mergeCells count="3">
    <mergeCell ref="B2:X2"/>
    <mergeCell ref="H3:M3"/>
    <mergeCell ref="B5:M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24</vt:i4>
      </vt:variant>
      <vt:variant>
        <vt:lpstr>Pojmenované oblasti</vt:lpstr>
      </vt:variant>
      <vt:variant>
        <vt:i4>2</vt:i4>
      </vt:variant>
    </vt:vector>
  </HeadingPairs>
  <TitlesOfParts>
    <vt:vector size="26" baseType="lpstr">
      <vt:lpstr>Zdroj_v3</vt:lpstr>
      <vt:lpstr>Zdroj_v3_Orig</vt:lpstr>
      <vt:lpstr>1.3</vt:lpstr>
      <vt:lpstr>1.4</vt:lpstr>
      <vt:lpstr>1.5</vt:lpstr>
      <vt:lpstr>1.6</vt:lpstr>
      <vt:lpstr>1.7</vt:lpstr>
      <vt:lpstr>2.2</vt:lpstr>
      <vt:lpstr>2.3</vt:lpstr>
      <vt:lpstr>2.4</vt:lpstr>
      <vt:lpstr>2.5</vt:lpstr>
      <vt:lpstr>2.6</vt:lpstr>
      <vt:lpstr>2.7</vt:lpstr>
      <vt:lpstr>2.8</vt:lpstr>
      <vt:lpstr>3.1</vt:lpstr>
      <vt:lpstr>3.2</vt:lpstr>
      <vt:lpstr>3.3</vt:lpstr>
      <vt:lpstr>4.1</vt:lpstr>
      <vt:lpstr>4.2</vt:lpstr>
      <vt:lpstr>4.3</vt:lpstr>
      <vt:lpstr>5.1</vt:lpstr>
      <vt:lpstr>5.2</vt:lpstr>
      <vt:lpstr>6.1</vt:lpstr>
      <vt:lpstr>6.2</vt:lpstr>
      <vt:lpstr>'3.3'!Oblast_tisku</vt:lpstr>
      <vt:lpstr>'5.1'!Oblast_tisku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Jaroslava Pomothyova</dc:creator>
  <cp:lastModifiedBy>Jaroslava Pomothyova</cp:lastModifiedBy>
  <dcterms:created xsi:type="dcterms:W3CDTF">2015-06-05T18:19:34Z</dcterms:created>
  <dcterms:modified xsi:type="dcterms:W3CDTF">2021-03-16T05:20:30Z</dcterms:modified>
</cp:coreProperties>
</file>